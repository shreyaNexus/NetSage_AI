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ses" sheetId="2" state="visible" r:id="rId4"/>
    <sheet name="AI_Diagnoses" sheetId="3" state="visible" r:id="rId5"/>
    <sheet name="Rule_Checker" sheetId="4" state="visible" r:id="rId6"/>
    <sheet name="Human_Review"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<sst xmlns="http://schemas.openxmlformats.org/spreadsheetml/2006/main" count="979" uniqueCount="483">
  <si>
    <t xml:space="preserve">NetSage AI — Project Dashboard</t>
  </si>
  <si>
    <t xml:space="preserve">Junior-engineer troubleshooting assistant with mandatory human review</t>
  </si>
  <si>
    <t xml:space="preserve">Total Cases</t>
  </si>
  <si>
    <t xml:space="preserve">Accepted</t>
  </si>
  <si>
    <t xml:space="preserve">Edited</t>
  </si>
  <si>
    <t xml:space="preserve">Rejected</t>
  </si>
  <si>
    <t xml:space="preserve">AI Agreement Rate</t>
  </si>
  <si>
    <t xml:space="preserve">Rule-Checker Clean Rate</t>
  </si>
  <si>
    <t xml:space="preserve">Cases by Issue Type</t>
  </si>
  <si>
    <t xml:space="preserve">Human Review Outcomes</t>
  </si>
  <si>
    <t xml:space="preserve">Category</t>
  </si>
  <si>
    <t xml:space="preserve">Count</t>
  </si>
  <si>
    <t xml:space="preserve">Outcome</t>
  </si>
  <si>
    <t xml:space="preserve">ACL</t>
  </si>
  <si>
    <t xml:space="preserve">DHCP</t>
  </si>
  <si>
    <t xml:space="preserve">DNS</t>
  </si>
  <si>
    <t xml:space="preserve">Gateway</t>
  </si>
  <si>
    <t xml:space="preserve">NAT</t>
  </si>
  <si>
    <t xml:space="preserve">Routing</t>
  </si>
  <si>
    <t xml:space="preserve">VLAN</t>
  </si>
  <si>
    <t xml:space="preserve">Wireless</t>
  </si>
  <si>
    <t xml:space="preserve">Cases by Severity</t>
  </si>
  <si>
    <t xml:space="preserve">Severity</t>
  </si>
  <si>
    <t xml:space="preserve">High</t>
  </si>
  <si>
    <t xml:space="preserve">Medium</t>
  </si>
  <si>
    <t xml:space="preserve">Low</t>
  </si>
  <si>
    <t xml:space="preserve">case_id</t>
  </si>
  <si>
    <t xml:space="preserve">category</t>
  </si>
  <si>
    <t xml:space="preserve">severity</t>
  </si>
  <si>
    <t xml:space="preserve">osi_layer</t>
  </si>
  <si>
    <t xml:space="preserve">concept_tag</t>
  </si>
  <si>
    <t xml:space="preserve">symptom</t>
  </si>
  <si>
    <t xml:space="preserve">topology_note</t>
  </si>
  <si>
    <t xml:space="preserve">show_output</t>
  </si>
  <si>
    <t xml:space="preserve">expected_fault</t>
  </si>
  <si>
    <t xml:space="preserve">host_ip</t>
  </si>
  <si>
    <t xml:space="preserve">host_mask</t>
  </si>
  <si>
    <t xml:space="preserve">gateway_ip_configured</t>
  </si>
  <si>
    <t xml:space="preserve">router_interface_ip</t>
  </si>
  <si>
    <t xml:space="preserve">router_interface_mask</t>
  </si>
  <si>
    <t xml:space="preserve">interface_status</t>
  </si>
  <si>
    <t xml:space="preserve">vlan_assigned_on_port</t>
  </si>
  <si>
    <t xml:space="preserve">vlan_exists_on_switch</t>
  </si>
  <si>
    <t xml:space="preserve">route_to_dest_present</t>
  </si>
  <si>
    <t xml:space="preserve">duplicate_ip_flag</t>
  </si>
  <si>
    <t xml:space="preserve">C001</t>
  </si>
  <si>
    <t xml:space="preserve">Layer 2</t>
  </si>
  <si>
    <t xml:space="preserve">vlan-port-mismatch</t>
  </si>
  <si>
    <t xml:space="preserve">PC1 in office VLAN 10 cannot ping PC2 in the same office, both on SW1.</t>
  </si>
  <si>
    <t xml:space="preserve">SW1 access ports Fa0/1 (PC1) and Fa0/2 (PC2), both meant to be VLAN 10.</t>
  </si>
  <si>
    <t xml:space="preserve">show vlan brief: VLAN10 ACTIVE Fa0/1; Fa0/2 NOT listed under VLAN10, shows under VLAN1. show run int fa0/2: switchport access vlan 1.</t>
  </si>
  <si>
    <t xml:space="preserve">Fa0/2 was left in default VLAN 1 instead of being assigned to VLAN 10, so PC2 is on a different broadcast domain than PC1.</t>
  </si>
  <si>
    <t xml:space="preserve">10.10.10.11</t>
  </si>
  <si>
    <t xml:space="preserve">255.255.255.0</t>
  </si>
  <si>
    <t xml:space="preserve">10.10.10.1</t>
  </si>
  <si>
    <t xml:space="preserve">up/up</t>
  </si>
  <si>
    <t xml:space="preserve">1</t>
  </si>
  <si>
    <t xml:space="preserve">10</t>
  </si>
  <si>
    <t xml:space="preserve">n/a</t>
  </si>
  <si>
    <t xml:space="preserve">C002</t>
  </si>
  <si>
    <t xml:space="preserve">vlan-not-created</t>
  </si>
  <si>
    <t xml:space="preserve">Two new PCs on SW2 cannot reach anything, including each other.</t>
  </si>
  <si>
    <t xml:space="preserve">Ports Fa0/5 and Fa0/6 were configured for VLAN 30 (new Sales VLAN).</t>
  </si>
  <si>
    <t xml:space="preserve">show vlan brief: VLAN30 does not appear in the table at all. show run int fa0/5: switchport access vlan 30 (command accepted, but vlan 30 was never created with 'vlan 30' global command).</t>
  </si>
  <si>
    <t xml:space="preserve">VLAN 30 was assigned to ports but never created on the switch, so those ports are effectively inactive/blackholed.</t>
  </si>
  <si>
    <t xml:space="preserve">10.10.30.10</t>
  </si>
  <si>
    <t xml:space="preserve">10.10.30.1</t>
  </si>
  <si>
    <t xml:space="preserve">30</t>
  </si>
  <si>
    <t xml:space="preserve">none</t>
  </si>
  <si>
    <t xml:space="preserve">C003</t>
  </si>
  <si>
    <t xml:space="preserve">trunk-native-vlan-mismatch</t>
  </si>
  <si>
    <t xml:space="preserve">VLAN 20 devices on SW1 can reach the router but VLAN 20 devices on SW2 cannot.</t>
  </si>
  <si>
    <t xml:space="preserve">SW1-SW2 link is a trunk carrying VLAN 10/20/30.</t>
  </si>
  <si>
    <t xml:space="preserve">SW1 show int trunk: Fa0/24 native vlan 1. SW2 show int trunk: Fa0/24 native vlan 99. CDP native VLAN mismatch warning logged.</t>
  </si>
  <si>
    <t xml:space="preserve">Native VLAN mismatch on the trunk (VLAN 1 vs VLAN 99) is causing VLAN 20 traffic to be mishandled across the trunk.</t>
  </si>
  <si>
    <t xml:space="preserve">10.10.20.15</t>
  </si>
  <si>
    <t xml:space="preserve">10.10.20.1</t>
  </si>
  <si>
    <t xml:space="preserve">20</t>
  </si>
  <si>
    <t xml:space="preserve">C004</t>
  </si>
  <si>
    <t xml:space="preserve">Printer on Fa0/8 is unreachable from the Accounting VLAN.</t>
  </si>
  <si>
    <t xml:space="preserve">Printer should be in VLAN 40 (Accounting) alongside the rest of the department.</t>
  </si>
  <si>
    <t xml:space="preserve">show vlan brief: Fa0/8 listed under VLAN 1. show run int fa0/8: no switchport access vlan command present (still default).</t>
  </si>
  <si>
    <t xml:space="preserve">Fa0/8 was never explicitly assigned to VLAN 40 and is still sitting in default VLAN 1.</t>
  </si>
  <si>
    <t xml:space="preserve">10.10.40.50</t>
  </si>
  <si>
    <t xml:space="preserve">10.10.40.1</t>
  </si>
  <si>
    <t xml:space="preserve">40</t>
  </si>
  <si>
    <t xml:space="preserve">C005</t>
  </si>
  <si>
    <t xml:space="preserve">vlan-interface-shutdown</t>
  </si>
  <si>
    <t xml:space="preserve">Entire VLAN 10 subnet is unreachable from every other VLAN.</t>
  </si>
  <si>
    <t xml:space="preserve">Router-on-a-stick with subinterfaces per VLAN on Gi0/0.</t>
  </si>
  <si>
    <t xml:space="preserve">show ip interface brief: Gi0/0.10 10.10.10.1 administratively down. show run: interface Gi0/0.10 ... shutdown.</t>
  </si>
  <si>
    <t xml:space="preserve">The VLAN 10 router subinterface (Gi0/0.10) is administratively shut down, taking the whole VLAN off the network.</t>
  </si>
  <si>
    <t xml:space="preserve">10.10.10.25</t>
  </si>
  <si>
    <t xml:space="preserve">administratively down</t>
  </si>
  <si>
    <t xml:space="preserve">C006</t>
  </si>
  <si>
    <t xml:space="preserve">Layer 3</t>
  </si>
  <si>
    <t xml:space="preserve">gateway-wrong-subnet</t>
  </si>
  <si>
    <t xml:space="preserve">PC3 can ping other hosts on its own subnet but nothing off-subnet.</t>
  </si>
  <si>
    <t xml:space="preserve">PC3 is on 192.168.5.0/24 behind R1's Gi0/1.</t>
  </si>
  <si>
    <t xml:space="preserve">PC3 ipconfig: IP 192.168.5.50/24, gateway 192.168.6.1. R1 show ip int brief: Gi0/1 192.168.5.1/24 up/up.</t>
  </si>
  <si>
    <t xml:space="preserve">PC3's default gateway (192.168.6.1) is not on its own subnet and does not match the router's real interface (192.168.5.1).</t>
  </si>
  <si>
    <t xml:space="preserve">192.168.5.50</t>
  </si>
  <si>
    <t xml:space="preserve">192.168.6.1</t>
  </si>
  <si>
    <t xml:space="preserve">192.168.5.1</t>
  </si>
  <si>
    <t xml:space="preserve">C007</t>
  </si>
  <si>
    <t xml:space="preserve">gateway-typo</t>
  </si>
  <si>
    <t xml:space="preserve">New laptop can ping the router's LAN IP but not the internet or other VLANs.</t>
  </si>
  <si>
    <t xml:space="preserve">Static IP was configured by hand on the laptop.</t>
  </si>
  <si>
    <t xml:space="preserve">Laptop ipconfig: IP 172.16.1.100/24, gateway 172.16.1.001 (typo, should be .1). Router Gi0/0: 172.16.1.1/24 up/up.</t>
  </si>
  <si>
    <t xml:space="preserve">The gateway address was mistyped (172.16.1.001) so it never resolves to the router's real interface.</t>
  </si>
  <si>
    <t xml:space="preserve">172.16.1.100</t>
  </si>
  <si>
    <t xml:space="preserve">172.16.1.2</t>
  </si>
  <si>
    <t xml:space="preserve">172.16.1.1</t>
  </si>
  <si>
    <t xml:space="preserve">C008</t>
  </si>
  <si>
    <t xml:space="preserve">gateway-interface-down</t>
  </si>
  <si>
    <t xml:space="preserve">Whole branch office lost connectivity to HQ at the same time.</t>
  </si>
  <si>
    <t xml:space="preserve">Branch router R2 Gi0/1 is the LAN gateway for 10.20.0.0/24.</t>
  </si>
  <si>
    <t xml:space="preserve">R2 show ip int brief: Gi0/1 10.20.0.1 down/down (line protocol down). show log: %LINK-3-UPDOWN Gi0/1 changed state to down.</t>
  </si>
  <si>
    <t xml:space="preserve">The gateway interface Gi0/1 itself is physically/line-protocol down, so no host behind it can reach anything.</t>
  </si>
  <si>
    <t xml:space="preserve">10.20.0.40</t>
  </si>
  <si>
    <t xml:space="preserve">10.20.0.1</t>
  </si>
  <si>
    <t xml:space="preserve">down/down</t>
  </si>
  <si>
    <t xml:space="preserve">C009</t>
  </si>
  <si>
    <t xml:space="preserve">gateway-mask-mismatch</t>
  </si>
  <si>
    <t xml:space="preserve">PC5 can reach some hosts on its floor but not the gateway or anything beyond.</t>
  </si>
  <si>
    <t xml:space="preserve">Floor uses 192.168.20.0/25 (mask .128), split into two half-subnets.</t>
  </si>
  <si>
    <t xml:space="preserve">PC5 ipconfig: IP 192.168.20.10/24 (should be /25). Router Gi0/2: 192.168.20.1/25.</t>
  </si>
  <si>
    <t xml:space="preserve">PC5 has the wrong subnet mask (/24 instead of /25), so it thinks the gateway is on-link when it is actually in a different /25 block on the wire.</t>
  </si>
  <si>
    <t xml:space="preserve">192.168.20.10</t>
  </si>
  <si>
    <t xml:space="preserve">192.168.20.1</t>
  </si>
  <si>
    <t xml:space="preserve">255.255.255.128</t>
  </si>
  <si>
    <t xml:space="preserve">C010</t>
  </si>
  <si>
    <t xml:space="preserve">dhcp-pool-exhausted</t>
  </si>
  <si>
    <t xml:space="preserve">New PCs in the lab get an APIPA 169.254.x.x address instead of a real IP.</t>
  </si>
  <si>
    <t xml:space="preserve">Lab VLAN 50 uses DHCP pool LAB50, 50 addresses reserved.</t>
  </si>
  <si>
    <t xml:space="preserve">show ip dhcp pool LAB50: leased 50, total 50 (0 available). debug ip dhcp server events: DHCPDISCOVER, no addresses available.</t>
  </si>
  <si>
    <t xml:space="preserve">The DHCP scope for VLAN 50 is fully exhausted, so new clients fall back to APIPA.</t>
  </si>
  <si>
    <t xml:space="preserve">169.254.12.34</t>
  </si>
  <si>
    <t xml:space="preserve">255.255.0.0</t>
  </si>
  <si>
    <t xml:space="preserve">0.0.0.0</t>
  </si>
  <si>
    <t xml:space="preserve">10.10.50.1</t>
  </si>
  <si>
    <t xml:space="preserve">50</t>
  </si>
  <si>
    <t xml:space="preserve">C011</t>
  </si>
  <si>
    <t xml:space="preserve">dhcp-excluded-range-wrong</t>
  </si>
  <si>
    <t xml:space="preserve">PC gets an IP that collides with the router's own interface address.</t>
  </si>
  <si>
    <t xml:space="preserve">Router Gi0/0 is 10.10.60.1, DHCP pool covers 10.10.60.0/24.</t>
  </si>
  <si>
    <t xml:space="preserve">show run: ip dhcp excluded-address command is missing for 10.10.60.1-10.10.60.10. show ip dhcp binding: 10.10.60.1 leased to PC-MAC-aa:bb.</t>
  </si>
  <si>
    <t xml:space="preserve">The router's own gateway address was never excluded from the DHCP pool, so it was handed out to a client, creating an address conflict.</t>
  </si>
  <si>
    <t xml:space="preserve">10.10.60.1</t>
  </si>
  <si>
    <t xml:space="preserve">60</t>
  </si>
  <si>
    <t xml:space="preserve">C012</t>
  </si>
  <si>
    <t xml:space="preserve">dhcp-relay-missing</t>
  </si>
  <si>
    <t xml:space="preserve">Clients on a remote VLAN never get an address; DHCP server is centralized on another subnet.</t>
  </si>
  <si>
    <t xml:space="preserve">VLAN 70 clients, DHCP server lives on VLAN 1 attached to R1.</t>
  </si>
  <si>
    <t xml:space="preserve">R1 show run int vlan70: no ip helper-address configured. debug ip dhcp: no DHCPDISCOVER ever reaches the server interface.</t>
  </si>
  <si>
    <t xml:space="preserve">Missing 'ip helper-address' on the VLAN 70 gateway interface means broadcast DHCPDISCOVER packets never reach the remote DHCP server.</t>
  </si>
  <si>
    <t xml:space="preserve">10.10.70.1</t>
  </si>
  <si>
    <t xml:space="preserve">70</t>
  </si>
  <si>
    <t xml:space="preserve">C013</t>
  </si>
  <si>
    <t xml:space="preserve">dhcp-wrong-default-router-option</t>
  </si>
  <si>
    <t xml:space="preserve">Clients get an IP address but internet browsing fails immediately.</t>
  </si>
  <si>
    <t xml:space="preserve">DHCP pool LAB80 configured recently by a junior admin.</t>
  </si>
  <si>
    <t xml:space="preserve">show run: ip dhcp pool LAB80 ... default-router 10.10.80.254 (router's real interface is 10.10.80.1).</t>
  </si>
  <si>
    <t xml:space="preserve">The DHCP pool advertises the wrong default-router option, handing clients a gateway address that does not exist on the segment.</t>
  </si>
  <si>
    <t xml:space="preserve">10.10.80.20</t>
  </si>
  <si>
    <t xml:space="preserve">10.10.80.254</t>
  </si>
  <si>
    <t xml:space="preserve">10.10.80.1</t>
  </si>
  <si>
    <t xml:space="preserve">80</t>
  </si>
  <si>
    <t xml:space="preserve">C014</t>
  </si>
  <si>
    <t xml:space="preserve">Layer 7</t>
  </si>
  <si>
    <t xml:space="preserve">dns-server-unreachable</t>
  </si>
  <si>
    <t xml:space="preserve">Users can ping the web server by IP but browsing by hostname fails.</t>
  </si>
  <si>
    <t xml:space="preserve">Internal DNS server is 10.10.1.53.</t>
  </si>
  <si>
    <t xml:space="preserve">PC nslookup intranet.local: Request timed out. PC ping 10.10.1.53: Request timed out. PC ping 10.10.5.20 (web server IP): success.</t>
  </si>
  <si>
    <t xml:space="preserve">The DNS server 10.10.1.53 is unreachable, so name resolution fails even though IP connectivity to the actual service is fine.</t>
  </si>
  <si>
    <t xml:space="preserve">10.10.1.100</t>
  </si>
  <si>
    <t xml:space="preserve">10.10.1.1</t>
  </si>
  <si>
    <t xml:space="preserve">C015</t>
  </si>
  <si>
    <t xml:space="preserve">dns-wrong-server-configured</t>
  </si>
  <si>
    <t xml:space="preserve">Only one PC in the lab cannot resolve any hostname; others are fine.</t>
  </si>
  <si>
    <t xml:space="preserve">DHCP normally hands out DNS 10.10.1.53, this PC has a static config.</t>
  </si>
  <si>
    <t xml:space="preserve">PC ipconfig /all: DNS Server 10.10.1.35 (transposed digits, should be .53). ping 10.10.1.35: Destination host unreachable.</t>
  </si>
  <si>
    <t xml:space="preserve">A statically configured DNS server address has a digit transposition (10.10.1.35 vs 10.10.1.53) pointing at a nonexistent host.</t>
  </si>
  <si>
    <t xml:space="preserve">10.10.1.120</t>
  </si>
  <si>
    <t xml:space="preserve">C016</t>
  </si>
  <si>
    <t xml:space="preserve">dns-acl-blocking-port53</t>
  </si>
  <si>
    <t xml:space="preserve">Branch office cannot resolve HQ hostnames even though the DNS server IP is reachable.</t>
  </si>
  <si>
    <t xml:space="preserve">An ACL was recently added to the WAN link for security hardening.</t>
  </si>
  <si>
    <t xml:space="preserve">ping 10.10.1.53 from branch: success. nslookup: Request timed out. show access-lists WAN-IN: deny udp any any eq 53 (line 10) present above any permit.</t>
  </si>
  <si>
    <t xml:space="preserve">A newly added ACL entry is blocking UDP port 53 (DNS) across the WAN link, even though basic ICMP reachability still works.</t>
  </si>
  <si>
    <t xml:space="preserve">10.30.1.50</t>
  </si>
  <si>
    <t xml:space="preserve">10.30.1.1</t>
  </si>
  <si>
    <t xml:space="preserve">C017</t>
  </si>
  <si>
    <t xml:space="preserve">dns-record-missing</t>
  </si>
  <si>
    <t xml:space="preserve">New internal app server can't be reached by name, only by IP.</t>
  </si>
  <si>
    <t xml:space="preserve">Server was just deployed at 10.10.9.30.</t>
  </si>
  <si>
    <t xml:space="preserve">nslookup appserver.local: Non-existent domain. DNS server show zone internal.local: no A record for appserver.</t>
  </si>
  <si>
    <t xml:space="preserve">No DNS A record was ever created for the new server, so the name simply does not exist in the zone.</t>
  </si>
  <si>
    <t xml:space="preserve">10.10.9.30</t>
  </si>
  <si>
    <t xml:space="preserve">10.10.9.1</t>
  </si>
  <si>
    <t xml:space="preserve">9</t>
  </si>
  <si>
    <t xml:space="preserve">C018</t>
  </si>
  <si>
    <t xml:space="preserve">missing-route</t>
  </si>
  <si>
    <t xml:space="preserve">HQ can ping the branch router's WAN interface but not any branch LAN host.</t>
  </si>
  <si>
    <t xml:space="preserve">Branch LAN is 172.20.5.0/24, advertised via static routes at HQ.</t>
  </si>
  <si>
    <t xml:space="preserve">HQ show ip route: no entry for 172.20.5.0/24. show run: missing 'ip route 172.20.5.0 255.255.255.0 &lt;branch-wan-ip&gt;' statement.</t>
  </si>
  <si>
    <t xml:space="preserve">HQ is missing the static route to the branch LAN subnet (172.20.5.0/24), so return traffic has no path back.</t>
  </si>
  <si>
    <t xml:space="preserve">172.20.5.10</t>
  </si>
  <si>
    <t xml:space="preserve">172.20.5.1</t>
  </si>
  <si>
    <t xml:space="preserve">C019</t>
  </si>
  <si>
    <t xml:space="preserve">ospf-neighbor-down</t>
  </si>
  <si>
    <t xml:space="preserve">Two areas that used to see each other's routes suddenly stopped exchanging routes.</t>
  </si>
  <si>
    <t xml:space="preserve">R1 and R2 run OSPF area 0 over a shared /30 link.</t>
  </si>
  <si>
    <t xml:space="preserve">R1 show ip ospf neighbor: (empty, no neighbors). show run int Gi0/1: ip ospf 1 area 0 present, but 'ip address' shows a typo'd /29 instead of /30 mask, breaking the adjacency.</t>
  </si>
  <si>
    <t xml:space="preserve">A subnet mask mismatch on the OSPF link (/29 vs /30) is preventing the OSPF neighbor adjacency from forming.</t>
  </si>
  <si>
    <t xml:space="preserve">10.1.1.1</t>
  </si>
  <si>
    <t xml:space="preserve">255.255.255.248</t>
  </si>
  <si>
    <t xml:space="preserve">C020</t>
  </si>
  <si>
    <t xml:space="preserve">wrong-next-hop</t>
  </si>
  <si>
    <t xml:space="preserve">Traffic to the internet times out even though the default route exists.</t>
  </si>
  <si>
    <t xml:space="preserve">R1 has a static default route pointing to the ISP.</t>
  </si>
  <si>
    <t xml:space="preserve">show ip route: S* 0.0.0.0/0 via 203.0.113.254. ping 203.0.113.254: Request timed out (that address is not the ISP's real next hop, which is .254 vs actual .253).</t>
  </si>
  <si>
    <t xml:space="preserve">The default route's next-hop IP (203.0.113.254) is wrong; the real ISP hand-off address is 203.0.113.253, so the route points at a dead end.</t>
  </si>
  <si>
    <t xml:space="preserve">203.0.113.1</t>
  </si>
  <si>
    <t xml:space="preserve">255.255.255.252</t>
  </si>
  <si>
    <t xml:space="preserve">C021</t>
  </si>
  <si>
    <t xml:space="preserve">asymmetric-routing-acl</t>
  </si>
  <si>
    <t xml:space="preserve">Ping between two sites works one way and fails the other way.</t>
  </si>
  <si>
    <t xml:space="preserve">Two ISP links provide redundancy; policy routing was recently added.</t>
  </si>
  <si>
    <t xml:space="preserve">Traceroute site A to B: completes normally. Traceroute site B to A: dies at the last hop. show route-map POLICY: return path forced out the wrong interface.</t>
  </si>
  <si>
    <t xml:space="preserve">A policy-based routing map is sending return traffic out a different, misconfigured interface, creating asymmetric routing that breaks the reverse path.</t>
  </si>
  <si>
    <t xml:space="preserve">198.51.100.1</t>
  </si>
  <si>
    <t xml:space="preserve">C022</t>
  </si>
  <si>
    <t xml:space="preserve">Layer 3/4</t>
  </si>
  <si>
    <t xml:space="preserve">acl-implicit-deny</t>
  </si>
  <si>
    <t xml:space="preserve">HR VLAN can no longer reach the payroll server after a new ACL was applied.</t>
  </si>
  <si>
    <t xml:space="preserve">ACL PAYROLL-IN applied inbound on the payroll server's VLAN interface.</t>
  </si>
  <si>
    <t xml:space="preserve">show access-lists PAYROLL-IN: permit tcp 10.10.11.0 0.0.0.255 host 10.10.99.5 eq 443 (only). show access-lists hit counts: implicit deny counter incrementing heavily.</t>
  </si>
  <si>
    <t xml:space="preserve">The new ACL only permits HTTPS (443) and everything else, including the app's real port (8443), is caught by the implicit deny at the end of the list.</t>
  </si>
  <si>
    <t xml:space="preserve">10.10.11.30</t>
  </si>
  <si>
    <t xml:space="preserve">10.10.11.1</t>
  </si>
  <si>
    <t xml:space="preserve">11</t>
  </si>
  <si>
    <t xml:space="preserve">C023</t>
  </si>
  <si>
    <t xml:space="preserve">acl-order-wrong</t>
  </si>
  <si>
    <t xml:space="preserve">A specific host that should be blocked from the server VLAN can still get through.</t>
  </si>
  <si>
    <t xml:space="preserve">ACL is supposed to deny host 10.10.12.50 but permit the rest of the subnet.</t>
  </si>
  <si>
    <t xml:space="preserve">show access-lists BLOCK-HOST: line 10 permit ip 10.10.12.0 0.0.0.255 any; line 20 deny host 10.10.12.50 any. Deny line never matches because the broader permit is evaluated first.</t>
  </si>
  <si>
    <t xml:space="preserve">ACL statement order is wrong: the broad permit for the whole subnet comes before the specific deny, so the deny for 10.10.12.50 never gets evaluated.</t>
  </si>
  <si>
    <t xml:space="preserve">10.10.12.50</t>
  </si>
  <si>
    <t xml:space="preserve">10.10.12.1</t>
  </si>
  <si>
    <t xml:space="preserve">12</t>
  </si>
  <si>
    <t xml:space="preserve">C024</t>
  </si>
  <si>
    <t xml:space="preserve">acl-wrong-direction</t>
  </si>
  <si>
    <t xml:space="preserve">Outbound web browsing from the lab VLAN works, but nobody outside can reach the lab's test web server.</t>
  </si>
  <si>
    <t xml:space="preserve">ACL LAB-ACL was intended to allow inbound HTTP to the test server only.</t>
  </si>
  <si>
    <t xml:space="preserve">show run int vlan90: ip access-group LAB-ACL out (applied outbound instead of inbound). show access-lists LAB-ACL: permit tcp any host 10.10.90.20 eq 80.</t>
  </si>
  <si>
    <t xml:space="preserve">The ACL was applied in the 'out' direction on the VLAN interface instead of 'in', so it never filters the inbound traffic it was written for.</t>
  </si>
  <si>
    <t xml:space="preserve">10.10.90.20</t>
  </si>
  <si>
    <t xml:space="preserve">10.10.90.1</t>
  </si>
  <si>
    <t xml:space="preserve">90</t>
  </si>
  <si>
    <t xml:space="preserve">C025</t>
  </si>
  <si>
    <t xml:space="preserve">acl-missing-permit-return</t>
  </si>
  <si>
    <t xml:space="preserve">Outbound DNS queries from a locked-down VLAN work, but no answers ever come back.</t>
  </si>
  <si>
    <t xml:space="preserve">A restrictive numbered ACL only lists specific permits with no 'established' or return-traffic allowance.</t>
  </si>
  <si>
    <t xml:space="preserve">show access-lists 101: permit udp 10.10.13.0 0.0.0.255 any eq 53 (outbound only, standard ACL cannot match return traffic by state).</t>
  </si>
  <si>
    <t xml:space="preserve">The ACL only permits outbound DNS queries; because it is a standard/stateless list with no matching return-traffic entry, DNS responses are dropped.</t>
  </si>
  <si>
    <t xml:space="preserve">10.10.13.40</t>
  </si>
  <si>
    <t xml:space="preserve">10.10.13.1</t>
  </si>
  <si>
    <t xml:space="preserve">13</t>
  </si>
  <si>
    <t xml:space="preserve">C026</t>
  </si>
  <si>
    <t xml:space="preserve">nat-inside-outside-not-set</t>
  </si>
  <si>
    <t xml:space="preserve">No internal host can reach the internet even though the default route and ISP link are up.</t>
  </si>
  <si>
    <t xml:space="preserve">PAT/NAT overload is configured on R1 for internet access.</t>
  </si>
  <si>
    <t xml:space="preserve">show run: ip nat inside source list 1 interface Gi0/0 overload present. show ip interface: Gi0/1 (LAN) NOT marked 'NAT: inside'. Gi0/0 (WAN) NOT marked 'NAT: outside'.</t>
  </si>
  <si>
    <t xml:space="preserve">The 'ip nat inside' and 'ip nat outside' interface commands were never applied, so the NAT overload rule has no interfaces to actually translate on.</t>
  </si>
  <si>
    <t xml:space="preserve">192.168.1.50</t>
  </si>
  <si>
    <t xml:space="preserve">192.168.1.1</t>
  </si>
  <si>
    <t xml:space="preserve">C027</t>
  </si>
  <si>
    <t xml:space="preserve">nat-acl-too-narrow</t>
  </si>
  <si>
    <t xml:space="preserve">Only a handful of PCs can browse the internet; the rest of the subnet cannot.</t>
  </si>
  <si>
    <t xml:space="preserve">NAT overload uses access-list 1 to define which hosts get translated.</t>
  </si>
  <si>
    <t xml:space="preserve">show access-lists 1: permit 192.168.1.0 0.0.0.15 (only covers .0-.15, subnet is actually /24). show ip nat translations: only low-numbered hosts appear.</t>
  </si>
  <si>
    <t xml:space="preserve">The NAT source access-list only matches the first 16 addresses of the subnet (wrong wildcard mask), so the rest of the LAN is never translated.</t>
  </si>
  <si>
    <t xml:space="preserve">192.168.1.120</t>
  </si>
  <si>
    <t xml:space="preserve">C028</t>
  </si>
  <si>
    <t xml:space="preserve">nat-port-forward-missing</t>
  </si>
  <si>
    <t xml:space="preserve">Internal web server is reachable from inside but not from the internet.</t>
  </si>
  <si>
    <t xml:space="preserve">Server should be reachable via a static NAT/port-forward on TCP 80.</t>
  </si>
  <si>
    <t xml:space="preserve">show run: no 'ip nat inside source static tcp 10.10.5.20 80 interface Gi0/0 80' entry present. show ip nat translations: no static entries for 10.10.5.20.</t>
  </si>
  <si>
    <t xml:space="preserve">No static NAT/port-forward rule exists for the web server, so inbound requests from outside have no translation to reach it.</t>
  </si>
  <si>
    <t xml:space="preserve">10.10.5.20</t>
  </si>
  <si>
    <t xml:space="preserve">10.10.5.1</t>
  </si>
  <si>
    <t xml:space="preserve">5</t>
  </si>
  <si>
    <t xml:space="preserve">C029</t>
  </si>
  <si>
    <t xml:space="preserve">wlan-vlan-mapping-wrong</t>
  </si>
  <si>
    <t xml:space="preserve">Guest Wi-Fi devices can reach internal file servers, which should never happen.</t>
  </si>
  <si>
    <t xml:space="preserve">Guest SSID is supposed to map to VLAN 99, isolated by an ACL.</t>
  </si>
  <si>
    <t xml:space="preserve">show wlan 2 (Guest): interface VLAN10 (should be VLAN99). VLAN10 is the trusted internal VLAN with no isolation ACL.</t>
  </si>
  <si>
    <t xml:space="preserve">The Guest SSID is mapped to VLAN 10 (internal) instead of VLAN 99 (isolated guest), so guest traffic lands directly on the trusted network.</t>
  </si>
  <si>
    <t xml:space="preserve">10.10.10.90</t>
  </si>
  <si>
    <t xml:space="preserve">C030</t>
  </si>
  <si>
    <t xml:space="preserve">Layer 1/2</t>
  </si>
  <si>
    <t xml:space="preserve">wlan-auth-mismatch</t>
  </si>
  <si>
    <t xml:space="preserve">Several students' laptops fail to join the classroom Wi-Fi with an authentication error, others connect fine.</t>
  </si>
  <si>
    <t xml:space="preserve">WPA2-Enterprise SSID re-keyed recently for the semester.</t>
  </si>
  <si>
    <t xml:space="preserve">WLC client trap log: repeated 802.1X authentication failures for a subset of MAC addresses. Those laptops still have last semester's cached RADIUS credentials/profile.</t>
  </si>
  <si>
    <t xml:space="preserve">Affected laptops are using a stale cached Wi-Fi profile with last semester's 802.1X credentials, which no longer match the RADIUS server.</t>
  </si>
  <si>
    <t xml:space="preserve">root_cause</t>
  </si>
  <si>
    <t xml:space="preserve">confidence</t>
  </si>
  <si>
    <t xml:space="preserve">evidence</t>
  </si>
  <si>
    <t xml:space="preserve">next_command</t>
  </si>
  <si>
    <t xml:space="preserve">fix_steps_json</t>
  </si>
  <si>
    <t xml:space="preserve">Fa0/2 is still in default VLAN 1 instead of VLAN 10, splitting PC1 and PC2 into different broadcast domains.</t>
  </si>
  <si>
    <t xml:space="preserve">high</t>
  </si>
  <si>
    <t xml:space="preserve">show vlan brief lists Fa0/2 under VLAN1, not VLAN10; show run int fa0/2 confirms 'switchport access vlan 1'.</t>
  </si>
  <si>
    <t xml:space="preserve">show vlan brief</t>
  </si>
  <si>
    <t xml:space="preserve">["interface fa0/2", "switchport access vlan 10", "confirm with show vlan brief", "re-test ping PC1 to PC2"]</t>
  </si>
  <si>
    <t xml:space="preserve">VLAN 30 was assigned to ports but never created with the global 'vlan 30' command, so the ports are inactive.</t>
  </si>
  <si>
    <t xml:space="preserve">show vlan brief has no VLAN30 entry at all even though fa0/5 is configured with 'switchport access vlan 30'.</t>
  </si>
  <si>
    <t xml:space="preserve">["vlan 30 (global config)", "name Sales", "exit", "confirm VLAN30 now shows ACTIVE", "re-test connectivity between the two ports"]</t>
  </si>
  <si>
    <t xml:space="preserve">The trunk between SW1 and SW2 is not carrying VLAN 20 at all, so VLAN 20 traffic never crosses the link.</t>
  </si>
  <si>
    <t xml:space="preserve">medium</t>
  </si>
  <si>
    <t xml:space="preserve">Both switches show VLAN20 configured locally; assumed the trunk's allowed-VLAN list excludes VLAN 20.</t>
  </si>
  <si>
    <t xml:space="preserve">show interfaces trunk</t>
  </si>
  <si>
    <t xml:space="preserve">["check switchport trunk allowed vlan on both ends", "add vlan 20 to the allowed list if missing", "re-test VLAN 20 connectivity across the trunk"]</t>
  </si>
  <si>
    <t xml:space="preserve">Fa0/8 was never assigned to VLAN 40 and is sitting in default VLAN 1.</t>
  </si>
  <si>
    <t xml:space="preserve">show vlan brief places fa0/8 under VLAN1; show run int fa0/8 has no access vlan command.</t>
  </si>
  <si>
    <t xml:space="preserve">["interface fa0/8", "switchport access vlan 40", "confirm with show vlan brief", "re-test printer reachability"]</t>
  </si>
  <si>
    <t xml:space="preserve">Router subinterface Gi0/0.10 (the VLAN 10 gateway) is administratively shut down.</t>
  </si>
  <si>
    <t xml:space="preserve">show ip interface brief shows Gi0/0.10 administratively down; show run confirms a 'shutdown' line under that subinterface.</t>
  </si>
  <si>
    <t xml:space="preserve">show ip interface brief</t>
  </si>
  <si>
    <t xml:space="preserve">["interface Gi0/0.10", "no shutdown", "confirm status is up/up", "re-test connectivity from VLAN 10 to other VLANs"]</t>
  </si>
  <si>
    <t xml:space="preserve">PC3's default gateway (192.168.6.1) is on a different subnet than the router's real interface (192.168.5.1).</t>
  </si>
  <si>
    <t xml:space="preserve">PC3 ipconfig gateway is 192.168.6.1 while R1 Gi0/1 is 192.168.5.1/24.</t>
  </si>
  <si>
    <t xml:space="preserve">["reconfigure PC3's gateway to 192.168.5.1", "if via DHCP, fix the default-router option on the pool", "re-test off-subnet connectivity"]</t>
  </si>
  <si>
    <t xml:space="preserve">The laptop's gateway address has a typo (172.16.1.001) and never matches the router's real interface (172.16.1.1).</t>
  </si>
  <si>
    <t xml:space="preserve">Laptop ipconfig shows gateway 172.16.1.001 vs router Gi0/0 at 172.16.1.1.</t>
  </si>
  <si>
    <t xml:space="preserve">ipconfig /all</t>
  </si>
  <si>
    <t xml:space="preserve">["correct the static gateway to 172.16.1.1", "or switch the laptop to DHCP", "re-test connectivity beyond the local subnet"]</t>
  </si>
  <si>
    <t xml:space="preserve">Branch router Gi0/1, the LAN gateway interface, is line-protocol down.</t>
  </si>
  <si>
    <t xml:space="preserve">show ip int brief reports Gi0/1 down/down; log shows %LINK-3-UPDOWN changed state to down.</t>
  </si>
  <si>
    <t xml:space="preserve">show interfaces Gi0/1</t>
  </si>
  <si>
    <t xml:space="preserve">["check the physical cable/SFP on Gi0/1", "reseat or replace the cable", "no shutdown if administratively disabled", "confirm up/up and re-test LAN connectivity"]</t>
  </si>
  <si>
    <t xml:space="preserve">PC5's default gateway address is wrong; it should point at 192.168.20.1 like the router interface shows.</t>
  </si>
  <si>
    <t xml:space="preserve">PC5's gateway differs from what the router reports for that segment.</t>
  </si>
  <si>
    <t xml:space="preserve">["reconfigure PC5's gateway to match the router interface", "re-test connectivity"]</t>
  </si>
  <si>
    <t xml:space="preserve">The DHCP scope for VLAN 50 is fully leased out (50/50), so new clients fall back to APIPA.</t>
  </si>
  <si>
    <t xml:space="preserve">show ip dhcp pool LAB50 reports leased 50 of 50; debug shows DHCPDISCOVER with no addresses available.</t>
  </si>
  <si>
    <t xml:space="preserve">show ip dhcp pool LAB50</t>
  </si>
  <si>
    <t xml:space="preserve">["enlarge the DHCP pool's address range", "or shorten the lease time to recycle stale leases", "clear expired bindings with clear ip dhcp binding *", "re-test that new clients receive an address"]</t>
  </si>
  <si>
    <t xml:space="preserve">The router's own gateway address (10.10.60.1) was never excluded from the DHCP pool and got leased to a client.</t>
  </si>
  <si>
    <t xml:space="preserve">show ip dhcp binding shows 10.10.60.1 leased to a client MAC; no ip dhcp excluded-address command is present for it.</t>
  </si>
  <si>
    <t xml:space="preserve">show ip dhcp binding</t>
  </si>
  <si>
    <t xml:space="preserve">["ip dhcp excluded-address 10.10.60.1 10.10.60.10", "clear the bad lease with clear ip dhcp binding 10.10.60.1", "re-test that the client gets a different address"]</t>
  </si>
  <si>
    <t xml:space="preserve">VLAN 70's gateway interface is missing 'ip helper-address', so DHCP broadcasts never reach the remote server.</t>
  </si>
  <si>
    <t xml:space="preserve">show run int vlan70 has no ip helper-address line; debug shows no DHCPDISCOVER arriving at the server interface.</t>
  </si>
  <si>
    <t xml:space="preserve">show run interface vlan70</t>
  </si>
  <si>
    <t xml:space="preserve">["interface vlan70", "ip helper-address &lt;dhcp-server-ip&gt;", "re-test that VLAN 70 clients receive a lease"]</t>
  </si>
  <si>
    <t xml:space="preserve">Clients on VLAN 80 are not receiving any default gateway from DHCP at all.</t>
  </si>
  <si>
    <t xml:space="preserve">low</t>
  </si>
  <si>
    <t xml:space="preserve">Browsing fails after clients get an IP, suggesting a gateway or DNS problem in the DHCP scope.</t>
  </si>
  <si>
    <t xml:space="preserve">show run | section dhcp pool LAB80</t>
  </si>
  <si>
    <t xml:space="preserve">["review the DHCP pool configuration for LAB80", "verify the default-router and dns-server options"]</t>
  </si>
  <si>
    <t xml:space="preserve">The internal DNS server at 10.10.1.53 is unreachable, so name resolution fails even though the target service's IP is fine.</t>
  </si>
  <si>
    <t xml:space="preserve">Ping to 10.10.1.53 times out while ping to the web server's IP succeeds.</t>
  </si>
  <si>
    <t xml:space="preserve">ping 10.10.1.53</t>
  </si>
  <si>
    <t xml:space="preserve">["check the DNS server's power/interface status", "verify routing/ACLs toward 10.10.1.53", "restart the DNS service if the host is reachable but not answering on port 53", "re-test nslookup"]</t>
  </si>
  <si>
    <t xml:space="preserve">This PC's statically configured DNS server IP has a digit transposition (10.10.1.35 instead of 10.10.1.53).</t>
  </si>
  <si>
    <t xml:space="preserve">ipconfig /all shows DNS 10.10.1.35, which is unreachable, while the correct server is 10.10.1.53.</t>
  </si>
  <si>
    <t xml:space="preserve">["correct the static DNS entry to 10.10.1.53", "or switch the PC back to DHCP-assigned DNS", "re-test nslookup"]</t>
  </si>
  <si>
    <t xml:space="preserve">A newly added ACL entry on the WAN link denies UDP port 53, blocking DNS while ICMP still passes.</t>
  </si>
  <si>
    <t xml:space="preserve">show access-lists WAN-IN shows 'deny udp any any eq 53' ahead of the permit statements; ping still succeeds, isolating this to port 53 specifically.</t>
  </si>
  <si>
    <t xml:space="preserve">show access-lists WAN-IN</t>
  </si>
  <si>
    <t xml:space="preserve">["remove or reorder the deny udp eq 53 line", "add an explicit permit for udp any any eq 53 if DNS should be allowed", "re-test nslookup from the branch"]</t>
  </si>
  <si>
    <t xml:space="preserve">No DNS A record exists for the new app server, so the hostname simply does not resolve.</t>
  </si>
  <si>
    <t xml:space="preserve">nslookup returns non-existent domain and the DNS zone has no A record for appserver.</t>
  </si>
  <si>
    <t xml:space="preserve">show zone internal.local (or check DNS server console)</t>
  </si>
  <si>
    <t xml:space="preserve">["create an A record for appserver.local pointing to 10.10.9.30", "re-test nslookup", "re-test browsing by hostname"]</t>
  </si>
  <si>
    <t xml:space="preserve">HQ is missing the static route to the branch LAN subnet 172.20.5.0/24, so return traffic has nowhere to go.</t>
  </si>
  <si>
    <t xml:space="preserve">HQ show ip route has no entry for 172.20.5.0/24; the corresponding ip route statement is absent from the running config.</t>
  </si>
  <si>
    <t xml:space="preserve">show ip route 172.20.5.0</t>
  </si>
  <si>
    <t xml:space="preserve">["ip route 172.20.5.0 255.255.255.0 &lt;branch-wan-ip&gt;", "confirm the route appears in show ip route", "re-test ping from HQ to a branch LAN host"]</t>
  </si>
  <si>
    <t xml:space="preserve">OSPF is not enabled on the R1-R2 link interface, so no neighbor relationship ever forms.</t>
  </si>
  <si>
    <t xml:space="preserve">show ip ospf neighbor is empty on R1, suggesting OSPF is not running on that interface.</t>
  </si>
  <si>
    <t xml:space="preserve">show ip ospf interface brief</t>
  </si>
  <si>
    <t xml:space="preserve">["confirm the interface is included in the OSPF network statement or has 'ip ospf 1 area 0' applied", "re-test neighbor formation"]</t>
  </si>
  <si>
    <t xml:space="preserve">The default route's next-hop IP (203.0.113.254) is wrong; the real ISP hand-off is 203.0.113.253.</t>
  </si>
  <si>
    <t xml:space="preserve">Ping to the configured next hop 203.0.113.254 times out, indicating that address does not answer on the WAN link.</t>
  </si>
  <si>
    <t xml:space="preserve">show ip route 0.0.0.0</t>
  </si>
  <si>
    <t xml:space="preserve">["update the static route: ip route 0.0.0.0 0.0.0.0 203.0.113.253", "remove the old incorrect static route", "re-test internet reachability"]</t>
  </si>
  <si>
    <t xml:space="preserve">A policy-based routing map is sending return traffic out a misconfigured interface, causing asymmetric routing.</t>
  </si>
  <si>
    <t xml:space="preserve">Traceroute A-to-B is clean but B-to-A dies at the last hop; the route-map POLICY forces the return path onto a different interface.</t>
  </si>
  <si>
    <t xml:space="preserve">show route-map POLICY</t>
  </si>
  <si>
    <t xml:space="preserve">["review the route-map's match/set statements for the return direction", "correct the set interface/next-hop to match the intended path", "re-test bidirectional traceroute"]</t>
  </si>
  <si>
    <t xml:space="preserve">The new PAYROLL-IN ACL only permits TCP 443, so the app's real port (8443) is caught by the implicit deny.</t>
  </si>
  <si>
    <t xml:space="preserve">show access-lists PAYROLL-IN only has a permit for eq 443; hit counters show the implicit deny incrementing heavily.</t>
  </si>
  <si>
    <t xml:space="preserve">show access-lists PAYROLL-IN</t>
  </si>
  <si>
    <t xml:space="preserve">["add: permit tcp 10.10.11.0 0.0.0.255 host 10.10.99.5 eq 8443", "re-test HR access to the payroll app", "confirm implicit-deny hit counter stops climbing"]</t>
  </si>
  <si>
    <t xml:space="preserve">The ACL is missing a deny statement for host 10.10.12.50 entirely, which is why it still gets through.</t>
  </si>
  <si>
    <t xml:space="preserve">show access-lists BLOCK-HOST lists a permit for the subnet; assumed the specific deny line was never added.</t>
  </si>
  <si>
    <t xml:space="preserve">show access-lists BLOCK-HOST</t>
  </si>
  <si>
    <t xml:space="preserve">["add a deny statement for host 10.10.12.50 to the ACL", "re-test that the host is now blocked"]</t>
  </si>
  <si>
    <t xml:space="preserve">The LAB-ACL is applied in the wrong direction ('out' instead of 'in') on the VLAN 90 interface.</t>
  </si>
  <si>
    <t xml:space="preserve">show run int vlan90 shows 'ip access-group LAB-ACL out', but the ACL's permit rules are written for inbound HTTP.</t>
  </si>
  <si>
    <t xml:space="preserve">show run interface vlan90</t>
  </si>
  <si>
    <t xml:space="preserve">["remove: ip access-group LAB-ACL out", "add: ip access-group LAB-ACL in", "re-test inbound HTTP to the test server from outside"]</t>
  </si>
  <si>
    <t xml:space="preserve">ACL 101 is a stateless list that only permits outbound DNS queries and has no matching entry for return traffic, so responses are dropped.</t>
  </si>
  <si>
    <t xml:space="preserve">show access-lists 101 shows only 'permit udp 10.10.13.0 0.0.0.255 any eq 53' with nothing allowing the reply traffic back in.</t>
  </si>
  <si>
    <t xml:space="preserve">show access-lists 101</t>
  </si>
  <si>
    <t xml:space="preserve">["add a permit for udp any eq 53 10.10.13.0 0.0.0.255 on the return leg, or replace with a reflexive/extended ACL that tracks established sessions", "re-test DNS resolution from VLAN 13"]</t>
  </si>
  <si>
    <t xml:space="preserve">'ip nat inside' and 'ip nat outside' were never applied to the LAN and WAN interfaces, so the NAT rule has nothing to act on.</t>
  </si>
  <si>
    <t xml:space="preserve">show ip interface shows neither Gi0/1 nor Gi0/0 marked with a NAT role, even though the overload rule exists in the config.</t>
  </si>
  <si>
    <t xml:space="preserve">show ip interface Gi0/1</t>
  </si>
  <si>
    <t xml:space="preserve">["interface Gi0/1 / ip nat inside", "interface Gi0/0 / ip nat outside", "re-test internet access from an internal host", "confirm entries appear in show ip nat translations"]</t>
  </si>
  <si>
    <t xml:space="preserve">NAT overload is not enabled at all for this subnet, which is why most hosts cannot reach the internet.</t>
  </si>
  <si>
    <t xml:space="preserve">Only a few hosts show up in show ip nat translations, suggesting NAT overload was never turned on for the subnet.</t>
  </si>
  <si>
    <t xml:space="preserve">show run | include ip nat</t>
  </si>
  <si>
    <t xml:space="preserve">["verify ip nat inside source list 1 interface Gi0/0 overload is present", "re-test internet access from an affected host"]</t>
  </si>
  <si>
    <t xml:space="preserve">No static NAT/port-forward rule exists for the internal web server, so inbound requests from outside are never translated.</t>
  </si>
  <si>
    <t xml:space="preserve">show run has no matching 'ip nat inside source static tcp' line for 10.10.5.20; show ip nat translations has no static entry.</t>
  </si>
  <si>
    <t xml:space="preserve">show ip nat translations</t>
  </si>
  <si>
    <t xml:space="preserve">["ip nat inside source static tcp 10.10.5.20 80 interface Gi0/0 80", "re-test reaching the server from outside the network", "confirm the static entry appears in show ip nat translations"]</t>
  </si>
  <si>
    <t xml:space="preserve">The Guest SSID is mapped to VLAN 10 (internal/trusted) instead of the isolated VLAN 99, so guest traffic reaches internal servers.</t>
  </si>
  <si>
    <t xml:space="preserve">show wlan 2 shows 'interface VLAN10' for the Guest SSID, and VLAN10 has no isolation ACL applied.</t>
  </si>
  <si>
    <t xml:space="preserve">show wlan 2</t>
  </si>
  <si>
    <t xml:space="preserve">["remap the Guest SSID's interface to VLAN 99", "confirm VLAN 99 has the guest-isolation ACL applied", "re-test that guest devices cannot reach internal servers"]</t>
  </si>
  <si>
    <t xml:space="preserve">The RADIUS server's shared secret was recently changed and needs to be updated on the WLC.</t>
  </si>
  <si>
    <t xml:space="preserve">Multiple 802.1X authentication failures were logged, which could point to a RADIUS shared-secret mismatch.</t>
  </si>
  <si>
    <t xml:space="preserve">show run | include radius</t>
  </si>
  <si>
    <t xml:space="preserve">["verify the RADIUS shared secret on the WLC matches the RADIUS server", "re-test authentication from an affected laptop"]</t>
  </si>
  <si>
    <t xml:space="preserve">duplicate_ip</t>
  </si>
  <si>
    <t xml:space="preserve">wrong_mask</t>
  </si>
  <si>
    <t xml:space="preserve">gateway_mismatch</t>
  </si>
  <si>
    <t xml:space="preserve">interface_down</t>
  </si>
  <si>
    <t xml:space="preserve">missing_vlan</t>
  </si>
  <si>
    <t xml:space="preserve">missing_route</t>
  </si>
  <si>
    <t xml:space="preserve">flags_raised</t>
  </si>
  <si>
    <t xml:space="preserve">clean</t>
  </si>
  <si>
    <t xml:space="preserve">review_status</t>
  </si>
  <si>
    <t xml:space="preserve">corrected_root_cause</t>
  </si>
  <si>
    <t xml:space="preserve">reviewer_notes</t>
  </si>
  <si>
    <t xml:space="preserve">AI matched the case exactly, evidence citation is precise.</t>
  </si>
  <si>
    <t xml:space="preserve">Correct diagnosis; fix steps are the standard VLAN-creation sequence.</t>
  </si>
  <si>
    <t xml:space="preserve">Native VLAN mismatch on the trunk (VLAN 1 on SW1 vs VLAN 99 on SW2) is causing VLAN 20 traffic to be mishandled, not a missing-VLAN-on-trunk issue.</t>
  </si>
  <si>
    <t xml:space="preserve">AI guessed 'VLAN 20 not in the allowed list' without evidence for it, and missed the CDP native-VLAN-mismatch warning that was explicitly in the show_output. Confidence was appropriately only medium, which is why this got caught before being applied.</t>
  </si>
  <si>
    <t xml:space="preserve">Correct and matches the show vlan brief evidence directly.</t>
  </si>
  <si>
    <t xml:space="preserve">Correct; administratively down subinterface is unambiguous in the evidence.</t>
  </si>
  <si>
    <t xml:space="preserve">Same root cause, but reviewer added: 'if DHCP is in use for this segment, also check the pool's default-router option, not just the static config.'</t>
  </si>
  <si>
    <t xml:space="preserve">AI's diagnosis was correct; edited to broaden the fix so it still applies if the gateway turns out to be DHCP-assigned rather than static, since the case evidence didn't fully rule that out.</t>
  </si>
  <si>
    <t xml:space="preserve">Correct; the .001 typo is called out precisely.</t>
  </si>
  <si>
    <t xml:space="preserve">Correct; matches the down/down interface and log line directly.</t>
  </si>
  <si>
    <t xml:space="preserve">PC5 has the wrong subnet mask (/24 instead of /25) for a subnet that was split into two /25 blocks, so it wrongly treats the gateway as on-link. The gateway IP itself is correct.</t>
  </si>
  <si>
    <t xml:space="preserve">AI treated this as a generic 'wrong gateway IP' case and told the engineer to change the gateway address, which was already correct. The actual evidence (router interface using a /25 mask on a /24-looking network) points to a mask problem, not a gateway-address problem. This is a classic case where surface-level pattern matching ('gateway issue') led the AI astray on a subtler root cause.</t>
  </si>
  <si>
    <t xml:space="preserve">Correct; pool exhaustion is directly shown in show ip dhcp pool.</t>
  </si>
  <si>
    <t xml:space="preserve">Same root cause, reviewer reordered fix_steps: exclude the address FIRST, then clear the bad binding, so a new client doesn't grab the same range again mid-fix.</t>
  </si>
  <si>
    <t xml:space="preserve">AI's diagnosis and fix were both correct in substance; edited only for operational sequencing.</t>
  </si>
  <si>
    <t xml:space="preserve">Correct; missing ip helper-address is the textbook cause and matches the debug evidence.</t>
  </si>
  <si>
    <t xml:space="preserve">The DHCP pool LAB80 is advertising the wrong default-router option (10.10.80.254) instead of the router's real interface (10.10.80.1), so clients get an IP but no working gateway.</t>
  </si>
  <si>
    <t xml:space="preserve">AI hedged with low confidence and a vague 'review the DHCP pool configuration' fix instead of committing to a specific hypothesis, even though the show_output directly contained the mismatched default-router line. This is logged as an under-confident miss: the evidence was sufficient to reach 'high' confidence and a specific fix, and the AI should not have needed a human to point at output that was already provided.</t>
  </si>
  <si>
    <t xml:space="preserve">Correct; DNS server unreachability is directly evidenced by the failed ping.</t>
  </si>
  <si>
    <t xml:space="preserve">Correct; the transposed digits are called out precisely.</t>
  </si>
  <si>
    <t xml:space="preserve">Same root cause, reviewer added: 'confirm no other ACL later in the chain also blocks port 53 before declaring the fix complete.'</t>
  </si>
  <si>
    <t xml:space="preserve">AI's diagnosis was correct and directly evidenced; edited to add a verification step reviewers want before sign-off on security-related ACL changes.</t>
  </si>
  <si>
    <t xml:space="preserve">Correct; missing A record is unambiguous from the DNS zone check.</t>
  </si>
  <si>
    <t xml:space="preserve">Correct; missing static route is directly shown in show ip route.</t>
  </si>
  <si>
    <t xml:space="preserve">OSPF IS configured on the interface (ip ospf 1 area 0 is present); the real problem is a subnet mask mismatch (/29 vs /30) between R1 and R2, which prevents the adjacency from forming even though OSPF is running.</t>
  </si>
  <si>
    <t xml:space="preserve">AI concluded 'OSPF not enabled' from an empty neighbor table alone, without reading the more specific detail in show_output that OSPF WAS configured on the interface but with a typo'd mask. This is a case of the AI reaching for the most common explanation for 'no OSPF neighbors' instead of reading the specific evidence given, and it's exactly the kind of error the workflow's rule checker is designed to catch independently (see rule_checker.py mask-mismatch check).</t>
  </si>
  <si>
    <t xml:space="preserve">Correct; the failed ping to the configured next-hop is direct evidence.</t>
  </si>
  <si>
    <t xml:space="preserve">Same root cause, reviewer tightened confidence language: kept at medium but added 'confirm by temporarily removing the route-map and re-testing' as an explicit validation step before deploying the fix in production.</t>
  </si>
  <si>
    <t xml:space="preserve">AI's diagnosis was correct given the traceroute asymmetry; edited to require validation before a production change, per team policy on policy-routing edits.</t>
  </si>
  <si>
    <t xml:space="preserve">Correct; the ACL only permitting 443 and the climbing implicit-deny counter are decisive evidence.</t>
  </si>
  <si>
    <t xml:space="preserve">The ACL DOES include a deny statement for host 10.10.12.50 (line 20), but a broader permit for the whole subnet (line 10) comes first and matches before the deny is ever evaluated. It's a statement-ORDER problem, not a missing statement.</t>
  </si>
  <si>
    <t xml:space="preserve">AI said the deny line was missing entirely, but the show_output clearly listed both lines with their order. This is a comprehension error, not a knowledge gap -- the fix the AI proposed (re-add a deny) would have done nothing, since a deny for that host already existed further down the list.</t>
  </si>
  <si>
    <t xml:space="preserve">Correct; the 'out' vs 'in' direction is explicit in the running config.</t>
  </si>
  <si>
    <t xml:space="preserve">Same root cause, reviewer added a preferred fix: recommend a reflexive ACL as the primary option rather than a second static permit line, since it's the more correct long-term fix for return traffic.</t>
  </si>
  <si>
    <t xml:space="preserve">AI's diagnosis was correct; edited to prefer the safer, standard fix (reflexive ACL) over a second broad static permit that would widen the attack surface.</t>
  </si>
  <si>
    <t xml:space="preserve">Correct; missing NAT inside/outside interface roles are directly shown.</t>
  </si>
  <si>
    <t xml:space="preserve">NAT overload IS enabled; the problem is that access-list 1 only matches the first 16 addresses of the /24 subnet (wrong wildcard mask 0.0.0.15 instead of 0.0.0.255), so most hosts are never selected for translation.</t>
  </si>
  <si>
    <t xml:space="preserve">AI concluded NAT was 'not enabled at all,' but the show_output explicitly included the ip nat inside source list 1 ... overload line, proving NAT was configured. The actual defect was in the ACL's wildcard mask, which the AI did not examine closely enough. Proposed fix would have been a no-op since NAT was already on.</t>
  </si>
  <si>
    <t xml:space="preserve">Correct; missing static NAT/port-forward entry is unambiguous.</t>
  </si>
  <si>
    <t xml:space="preserve">Correct and high-severity; matches the WLAN interface mapping evidence exactly.</t>
  </si>
  <si>
    <t xml:space="preserve">Corrected root cause: affected laptops are using a STALE CACHED Wi-Fi profile from last semester, not a RADIUS shared-secret mismatch on the WLC side (a secret mismatch would fail ALL clients, not just a subset).</t>
  </si>
  <si>
    <t xml:space="preserve">AI proposed a shared-secret mismatch, but that would cause every client to fail, not just a subset with old cached profiles. Kept as 'Edited' rather than 'Rejected' because the AI correctly identified the layer (802.1X/RADIUS, Layer 7) and the diagnostic direction, just not the precise mechanism -- the reviewer's correction is a refinement of a mostly-right answer.</t>
  </si>
</sst>
</file>

<file path=xl/styles.xml><?xml version="1.0" encoding="utf-8"?>
<styleSheet xmlns="http://schemas.openxmlformats.org/spreadsheetml/2006/main">
  <numFmts count="3">
    <numFmt numFmtId="164" formatCode="General"/>
    <numFmt numFmtId="165" formatCode="General"/>
    <numFmt numFmtId="166"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0"/>
      <color rgb="FF666666"/>
      <name val="Arial"/>
      <family val="0"/>
      <charset val="1"/>
    </font>
    <font>
      <b val="true"/>
      <sz val="11"/>
      <name val="Arial"/>
      <family val="0"/>
      <charset val="1"/>
    </font>
    <font>
      <b val="true"/>
      <sz val="14"/>
      <color rgb="FF1F4E78"/>
      <name val="Arial"/>
      <family val="0"/>
      <charset val="1"/>
    </font>
    <font>
      <b val="true"/>
      <sz val="11"/>
      <color rgb="FFFFFFFF"/>
      <name val="Arial"/>
      <family val="0"/>
      <charset val="1"/>
    </font>
    <font>
      <sz val="10"/>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D9E2F3"/>
        <bgColor rgb="FFD9D9D9"/>
      </patternFill>
    </fill>
    <fill>
      <patternFill patternType="solid">
        <fgColor rgb="FF1F4E78"/>
        <bgColor rgb="FF00336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C0504D"/>
      <rgbColor rgb="FFFFFF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BBB59"/>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Cases by Issue Type</a:t>
            </a:r>
          </a:p>
        </c:rich>
      </c:tx>
      <c:overlay val="0"/>
      <c:spPr>
        <a:noFill/>
        <a:ln w="0">
          <a:noFill/>
        </a:ln>
      </c:spPr>
    </c:title>
    <c:autoTitleDeleted val="0"/>
    <c:plotArea>
      <c:barChart>
        <c:barDir val="col"/>
        <c:grouping val="clustered"/>
        <c:varyColors val="0"/>
        <c:ser>
          <c:idx val="0"/>
          <c:order val="0"/>
          <c:tx>
            <c:strRef>
              <c:f>Dashboard!C11</c:f>
              <c:strCache>
                <c:ptCount val="1"/>
                <c:pt idx="0">
                  <c:v>Count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Dashboard!$B$12:$B$19</c:f>
              <c:strCache>
                <c:ptCount val="8"/>
                <c:pt idx="0">
                  <c:v>ACL</c:v>
                </c:pt>
                <c:pt idx="1">
                  <c:v>DHCP</c:v>
                </c:pt>
                <c:pt idx="2">
                  <c:v>DNS</c:v>
                </c:pt>
                <c:pt idx="3">
                  <c:v>Gateway</c:v>
                </c:pt>
                <c:pt idx="4">
                  <c:v>NAT</c:v>
                </c:pt>
                <c:pt idx="5">
                  <c:v>Routing</c:v>
                </c:pt>
                <c:pt idx="6">
                  <c:v>VLAN</c:v>
                </c:pt>
                <c:pt idx="7">
                  <c:v>Wireless</c:v>
                </c:pt>
              </c:strCache>
            </c:strRef>
          </c:cat>
          <c:val>
            <c:numRef>
              <c:f>Dashboard!$C$12:$C$19</c:f>
              <c:numCache>
                <c:formatCode>General</c:formatCode>
                <c:ptCount val="8"/>
                <c:pt idx="0">
                  <c:v>4</c:v>
                </c:pt>
                <c:pt idx="1">
                  <c:v>4</c:v>
                </c:pt>
                <c:pt idx="2">
                  <c:v>4</c:v>
                </c:pt>
                <c:pt idx="3">
                  <c:v>4</c:v>
                </c:pt>
                <c:pt idx="4">
                  <c:v>3</c:v>
                </c:pt>
                <c:pt idx="5">
                  <c:v>4</c:v>
                </c:pt>
                <c:pt idx="6">
                  <c:v>5</c:v>
                </c:pt>
                <c:pt idx="7">
                  <c:v>2</c:v>
                </c:pt>
              </c:numCache>
            </c:numRef>
          </c:val>
        </c:ser>
        <c:gapWidth val="150"/>
        <c:overlap val="0"/>
        <c:axId val="97622663"/>
        <c:axId val="41604778"/>
      </c:barChart>
      <c:catAx>
        <c:axId val="9762266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Category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604778"/>
        <c:crosses val="autoZero"/>
        <c:auto val="1"/>
        <c:lblAlgn val="ctr"/>
        <c:lblOffset val="100"/>
        <c:noMultiLvlLbl val="0"/>
      </c:catAx>
      <c:valAx>
        <c:axId val="4160477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Cases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62266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Human Review Outcomes</a:t>
            </a:r>
          </a:p>
        </c:rich>
      </c:tx>
      <c:overlay val="0"/>
      <c:spPr>
        <a:noFill/>
        <a:ln w="0">
          <a:noFill/>
        </a:ln>
      </c:spPr>
    </c:title>
    <c:autoTitleDeleted val="0"/>
    <c:plotArea>
      <c:pieChart>
        <c:varyColors val="1"/>
        <c:ser>
          <c:idx val="0"/>
          <c:order val="0"/>
          <c:tx>
            <c:strRef>
              <c:f>Dashboard!G11</c:f>
              <c:strCache>
                <c:ptCount val="1"/>
                <c:pt idx="0">
                  <c:v>Count</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Dashboard!$F$12:$F$14</c:f>
              <c:strCache>
                <c:ptCount val="3"/>
                <c:pt idx="0">
                  <c:v>Accepted</c:v>
                </c:pt>
                <c:pt idx="1">
                  <c:v>Edited</c:v>
                </c:pt>
                <c:pt idx="2">
                  <c:v>Rejected</c:v>
                </c:pt>
              </c:strCache>
            </c:strRef>
          </c:cat>
          <c:val>
            <c:numRef>
              <c:f>Dashboard!$G$12:$G$14</c:f>
              <c:numCache>
                <c:formatCode>General</c:formatCode>
                <c:ptCount val="3"/>
                <c:pt idx="0">
                  <c:v>18</c:v>
                </c:pt>
                <c:pt idx="1">
                  <c:v>6</c:v>
                </c:pt>
                <c:pt idx="2">
                  <c:v>6</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24</xdr:row>
      <xdr:rowOff>9720</xdr:rowOff>
    </xdr:from>
    <xdr:to>
      <xdr:col>7</xdr:col>
      <xdr:colOff>261720</xdr:colOff>
      <xdr:row>39</xdr:row>
      <xdr:rowOff>31680</xdr:rowOff>
    </xdr:to>
    <xdr:graphicFrame>
      <xdr:nvGraphicFramePr>
        <xdr:cNvPr id="0" name="Chart 1"/>
        <xdr:cNvGraphicFramePr/>
      </xdr:nvGraphicFramePr>
      <xdr:xfrm>
        <a:off x="211320" y="51436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24</xdr:row>
      <xdr:rowOff>9720</xdr:rowOff>
    </xdr:from>
    <xdr:to>
      <xdr:col>10</xdr:col>
      <xdr:colOff>511560</xdr:colOff>
      <xdr:row>39</xdr:row>
      <xdr:rowOff>31680</xdr:rowOff>
    </xdr:to>
    <xdr:graphicFrame>
      <xdr:nvGraphicFramePr>
        <xdr:cNvPr id="1" name="Chart 2"/>
        <xdr:cNvGraphicFramePr/>
      </xdr:nvGraphicFramePr>
      <xdr:xfrm>
        <a:off x="3735720" y="514368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8"/>
    <col collapsed="false" customWidth="true" hidden="false" outlineLevel="0" max="3" min="3" style="0" width="12"/>
    <col collapsed="false" customWidth="true" hidden="false" outlineLevel="0" max="5" min="4" style="0" width="10"/>
    <col collapsed="false" customWidth="true" hidden="false" outlineLevel="0" max="6" min="6" style="0" width="18"/>
    <col collapsed="false" customWidth="true" hidden="false" outlineLevel="0" max="7" min="7" style="0" width="10"/>
  </cols>
  <sheetData>
    <row r="2" customFormat="false" ht="19.7" hidden="false" customHeight="false" outlineLevel="0" collapsed="false">
      <c r="B2" s="1" t="s">
        <v>0</v>
      </c>
    </row>
    <row r="3" customFormat="false" ht="15" hidden="false" customHeight="false" outlineLevel="0" collapsed="false">
      <c r="B3" s="2" t="s">
        <v>1</v>
      </c>
    </row>
    <row r="5" customFormat="false" ht="52.2" hidden="false" customHeight="false" outlineLevel="0" collapsed="false">
      <c r="B5" s="3" t="s">
        <v>2</v>
      </c>
      <c r="C5" s="3" t="s">
        <v>3</v>
      </c>
      <c r="D5" s="3" t="s">
        <v>4</v>
      </c>
      <c r="E5" s="3" t="s">
        <v>5</v>
      </c>
      <c r="F5" s="3" t="s">
        <v>6</v>
      </c>
      <c r="G5" s="3" t="s">
        <v>7</v>
      </c>
    </row>
    <row r="6" customFormat="false" ht="17.35" hidden="false" customHeight="false" outlineLevel="0" collapsed="false">
      <c r="B6" s="4" t="n">
        <f aca="false">COUNTA(Cases!A2:A31)</f>
        <v>30</v>
      </c>
      <c r="C6" s="4" t="n">
        <f aca="false">COUNTIF(Human_Review!B2:B31,"Accepted")</f>
        <v>18</v>
      </c>
      <c r="D6" s="4" t="n">
        <f aca="false">COUNTIF(Human_Review!B2:B31,"Edited")</f>
        <v>6</v>
      </c>
      <c r="E6" s="4" t="n">
        <f aca="false">COUNTIF(Human_Review!B2:B31,"Rejected")</f>
        <v>6</v>
      </c>
      <c r="F6" s="5" t="n">
        <f aca="false">COUNTIF(Human_Review!B2:B31,"Accepted")/COUNTA(Human_Review!B2:B31)</f>
        <v>0.6</v>
      </c>
      <c r="G6" s="5" t="n">
        <f aca="false">COUNTIF(Rule_Checker!J2:J31,TRUE())/COUNTA(Rule_Checker!J2:J31)</f>
        <v>0.566666666666667</v>
      </c>
    </row>
    <row r="10" customFormat="false" ht="15" hidden="false" customHeight="false" outlineLevel="0" collapsed="false">
      <c r="B10" s="6" t="s">
        <v>8</v>
      </c>
      <c r="F10" s="6" t="s">
        <v>9</v>
      </c>
    </row>
    <row r="11" customFormat="false" ht="15" hidden="false" customHeight="false" outlineLevel="0" collapsed="false">
      <c r="B11" s="7" t="s">
        <v>10</v>
      </c>
      <c r="C11" s="7" t="s">
        <v>11</v>
      </c>
      <c r="F11" s="7" t="s">
        <v>12</v>
      </c>
      <c r="G11" s="7" t="s">
        <v>11</v>
      </c>
    </row>
    <row r="12" customFormat="false" ht="15" hidden="false" customHeight="false" outlineLevel="0" collapsed="false">
      <c r="B12" s="8" t="s">
        <v>13</v>
      </c>
      <c r="C12" s="8" t="n">
        <f aca="false">COUNTIF(Cases!B2:B31,B12)</f>
        <v>4</v>
      </c>
      <c r="F12" s="8" t="s">
        <v>3</v>
      </c>
      <c r="G12" s="8" t="n">
        <f aca="false">COUNTIF(Human_Review!B2:B31,F12)</f>
        <v>18</v>
      </c>
    </row>
    <row r="13" customFormat="false" ht="15" hidden="false" customHeight="false" outlineLevel="0" collapsed="false">
      <c r="B13" s="8" t="s">
        <v>14</v>
      </c>
      <c r="C13" s="8" t="n">
        <f aca="false">COUNTIF(Cases!B2:B31,B13)</f>
        <v>4</v>
      </c>
      <c r="F13" s="8" t="s">
        <v>4</v>
      </c>
      <c r="G13" s="8" t="n">
        <f aca="false">COUNTIF(Human_Review!B2:B31,F13)</f>
        <v>6</v>
      </c>
    </row>
    <row r="14" customFormat="false" ht="15" hidden="false" customHeight="false" outlineLevel="0" collapsed="false">
      <c r="B14" s="8" t="s">
        <v>15</v>
      </c>
      <c r="C14" s="8" t="n">
        <f aca="false">COUNTIF(Cases!B2:B31,B14)</f>
        <v>4</v>
      </c>
      <c r="F14" s="8" t="s">
        <v>5</v>
      </c>
      <c r="G14" s="8" t="n">
        <f aca="false">COUNTIF(Human_Review!B2:B31,F14)</f>
        <v>6</v>
      </c>
    </row>
    <row r="15" customFormat="false" ht="15" hidden="false" customHeight="false" outlineLevel="0" collapsed="false">
      <c r="B15" s="8" t="s">
        <v>16</v>
      </c>
      <c r="C15" s="8" t="n">
        <f aca="false">COUNTIF(Cases!B2:B31,B15)</f>
        <v>4</v>
      </c>
    </row>
    <row r="16" customFormat="false" ht="15" hidden="false" customHeight="false" outlineLevel="0" collapsed="false">
      <c r="B16" s="8" t="s">
        <v>17</v>
      </c>
      <c r="C16" s="8" t="n">
        <f aca="false">COUNTIF(Cases!B2:B31,B16)</f>
        <v>3</v>
      </c>
    </row>
    <row r="17" customFormat="false" ht="15" hidden="false" customHeight="false" outlineLevel="0" collapsed="false">
      <c r="B17" s="8" t="s">
        <v>18</v>
      </c>
      <c r="C17" s="8" t="n">
        <f aca="false">COUNTIF(Cases!B2:B31,B17)</f>
        <v>4</v>
      </c>
    </row>
    <row r="18" customFormat="false" ht="15" hidden="false" customHeight="false" outlineLevel="0" collapsed="false">
      <c r="B18" s="8" t="s">
        <v>19</v>
      </c>
      <c r="C18" s="8" t="n">
        <f aca="false">COUNTIF(Cases!B2:B31,B18)</f>
        <v>5</v>
      </c>
    </row>
    <row r="19" customFormat="false" ht="15" hidden="false" customHeight="false" outlineLevel="0" collapsed="false">
      <c r="B19" s="8" t="s">
        <v>20</v>
      </c>
      <c r="C19" s="8" t="n">
        <f aca="false">COUNTIF(Cases!B2:B31,B19)</f>
        <v>2</v>
      </c>
    </row>
    <row r="22" customFormat="false" ht="15" hidden="false" customHeight="false" outlineLevel="0" collapsed="false">
      <c r="B22" s="6" t="s">
        <v>21</v>
      </c>
    </row>
    <row r="23" customFormat="false" ht="15" hidden="false" customHeight="false" outlineLevel="0" collapsed="false">
      <c r="B23" s="7" t="s">
        <v>22</v>
      </c>
      <c r="C23" s="7" t="s">
        <v>11</v>
      </c>
    </row>
    <row r="24" customFormat="false" ht="15" hidden="false" customHeight="false" outlineLevel="0" collapsed="false">
      <c r="B24" s="8" t="s">
        <v>23</v>
      </c>
      <c r="C24" s="8" t="n">
        <f aca="false">COUNTIF(Cases!C2:C31,B24)</f>
        <v>9</v>
      </c>
    </row>
    <row r="25" customFormat="false" ht="15" hidden="false" customHeight="false" outlineLevel="0" collapsed="false">
      <c r="B25" s="8" t="s">
        <v>24</v>
      </c>
      <c r="C25" s="8" t="n">
        <f aca="false">COUNTIF(Cases!C2:C31,B25)</f>
        <v>14</v>
      </c>
    </row>
    <row r="26" customFormat="false" ht="15" hidden="false" customHeight="false" outlineLevel="0" collapsed="false">
      <c r="B26" s="8" t="s">
        <v>25</v>
      </c>
      <c r="C26" s="8" t="n">
        <f aca="false">COUNTIF(Cases!C2:C31,B26)</f>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2"/>
    <col collapsed="false" customWidth="true" hidden="false" outlineLevel="0" max="5" min="5" style="0" width="34"/>
    <col collapsed="false" customWidth="true" hidden="false" outlineLevel="0" max="9" min="6" style="0" width="42"/>
    <col collapsed="false" customWidth="true" hidden="false" outlineLevel="0" max="11" min="10" style="0" width="15"/>
    <col collapsed="false" customWidth="true" hidden="false" outlineLevel="0" max="12" min="12" style="0" width="23"/>
    <col collapsed="false" customWidth="true" hidden="false" outlineLevel="0" max="13" min="13" style="0" width="21"/>
    <col collapsed="false" customWidth="true" hidden="false" outlineLevel="0" max="18" min="14" style="0" width="23"/>
    <col collapsed="false" customWidth="true" hidden="false" outlineLevel="0" max="19" min="19" style="0" width="19"/>
  </cols>
  <sheetData>
    <row r="1" customFormat="false" ht="15" hidden="false" customHeight="false" outlineLevel="0" collapsed="false">
      <c r="A1" s="9" t="s">
        <v>26</v>
      </c>
      <c r="B1" s="9" t="s">
        <v>27</v>
      </c>
      <c r="C1" s="9" t="s">
        <v>28</v>
      </c>
      <c r="D1" s="9" t="s">
        <v>29</v>
      </c>
      <c r="E1" s="9" t="s">
        <v>30</v>
      </c>
      <c r="F1" s="9" t="s">
        <v>31</v>
      </c>
      <c r="G1" s="9" t="s">
        <v>32</v>
      </c>
      <c r="H1" s="9" t="s">
        <v>33</v>
      </c>
      <c r="I1" s="9" t="s">
        <v>34</v>
      </c>
      <c r="J1" s="9" t="s">
        <v>35</v>
      </c>
      <c r="K1" s="9" t="s">
        <v>36</v>
      </c>
      <c r="L1" s="9" t="s">
        <v>37</v>
      </c>
      <c r="M1" s="9" t="s">
        <v>38</v>
      </c>
      <c r="N1" s="9" t="s">
        <v>39</v>
      </c>
      <c r="O1" s="9" t="s">
        <v>40</v>
      </c>
      <c r="P1" s="9" t="s">
        <v>41</v>
      </c>
      <c r="Q1" s="9" t="s">
        <v>42</v>
      </c>
      <c r="R1" s="9" t="s">
        <v>43</v>
      </c>
      <c r="S1" s="9" t="s">
        <v>44</v>
      </c>
    </row>
    <row r="2" customFormat="false" ht="15" hidden="false" customHeight="false" outlineLevel="0" collapsed="false">
      <c r="A2" s="10" t="s">
        <v>45</v>
      </c>
      <c r="B2" s="10" t="s">
        <v>19</v>
      </c>
      <c r="C2" s="10" t="s">
        <v>23</v>
      </c>
      <c r="D2" s="10" t="s">
        <v>46</v>
      </c>
      <c r="E2" s="10" t="s">
        <v>47</v>
      </c>
      <c r="F2" s="10" t="s">
        <v>48</v>
      </c>
      <c r="G2" s="10" t="s">
        <v>49</v>
      </c>
      <c r="H2" s="10" t="s">
        <v>50</v>
      </c>
      <c r="I2" s="10" t="s">
        <v>51</v>
      </c>
      <c r="J2" s="10" t="s">
        <v>52</v>
      </c>
      <c r="K2" s="10" t="s">
        <v>53</v>
      </c>
      <c r="L2" s="10" t="s">
        <v>54</v>
      </c>
      <c r="M2" s="10" t="s">
        <v>54</v>
      </c>
      <c r="N2" s="10" t="s">
        <v>53</v>
      </c>
      <c r="O2" s="10" t="s">
        <v>55</v>
      </c>
      <c r="P2" s="10" t="s">
        <v>56</v>
      </c>
      <c r="Q2" s="10" t="s">
        <v>57</v>
      </c>
      <c r="R2" s="10" t="s">
        <v>58</v>
      </c>
      <c r="S2" s="11" t="b">
        <f aca="false">FALSE()</f>
        <v>0</v>
      </c>
    </row>
    <row r="3" customFormat="false" ht="15" hidden="false" customHeight="false" outlineLevel="0" collapsed="false">
      <c r="A3" s="10" t="s">
        <v>59</v>
      </c>
      <c r="B3" s="10" t="s">
        <v>19</v>
      </c>
      <c r="C3" s="10" t="s">
        <v>24</v>
      </c>
      <c r="D3" s="10" t="s">
        <v>46</v>
      </c>
      <c r="E3" s="10" t="s">
        <v>60</v>
      </c>
      <c r="F3" s="10" t="s">
        <v>61</v>
      </c>
      <c r="G3" s="10" t="s">
        <v>62</v>
      </c>
      <c r="H3" s="10" t="s">
        <v>63</v>
      </c>
      <c r="I3" s="10" t="s">
        <v>64</v>
      </c>
      <c r="J3" s="10" t="s">
        <v>65</v>
      </c>
      <c r="K3" s="10" t="s">
        <v>53</v>
      </c>
      <c r="L3" s="10" t="s">
        <v>66</v>
      </c>
      <c r="M3" s="10" t="s">
        <v>66</v>
      </c>
      <c r="N3" s="10" t="s">
        <v>53</v>
      </c>
      <c r="O3" s="10" t="s">
        <v>55</v>
      </c>
      <c r="P3" s="10" t="s">
        <v>67</v>
      </c>
      <c r="Q3" s="10" t="s">
        <v>68</v>
      </c>
      <c r="R3" s="10" t="s">
        <v>58</v>
      </c>
      <c r="S3" s="11" t="b">
        <f aca="false">FALSE()</f>
        <v>0</v>
      </c>
    </row>
    <row r="4" customFormat="false" ht="15" hidden="false" customHeight="false" outlineLevel="0" collapsed="false">
      <c r="A4" s="10" t="s">
        <v>69</v>
      </c>
      <c r="B4" s="10" t="s">
        <v>19</v>
      </c>
      <c r="C4" s="10" t="s">
        <v>24</v>
      </c>
      <c r="D4" s="10" t="s">
        <v>46</v>
      </c>
      <c r="E4" s="10" t="s">
        <v>70</v>
      </c>
      <c r="F4" s="10" t="s">
        <v>71</v>
      </c>
      <c r="G4" s="10" t="s">
        <v>72</v>
      </c>
      <c r="H4" s="10" t="s">
        <v>73</v>
      </c>
      <c r="I4" s="10" t="s">
        <v>74</v>
      </c>
      <c r="J4" s="10" t="s">
        <v>75</v>
      </c>
      <c r="K4" s="10" t="s">
        <v>53</v>
      </c>
      <c r="L4" s="10" t="s">
        <v>76</v>
      </c>
      <c r="M4" s="10" t="s">
        <v>76</v>
      </c>
      <c r="N4" s="10" t="s">
        <v>53</v>
      </c>
      <c r="O4" s="10" t="s">
        <v>55</v>
      </c>
      <c r="P4" s="10" t="s">
        <v>77</v>
      </c>
      <c r="Q4" s="10" t="s">
        <v>77</v>
      </c>
      <c r="R4" s="10" t="s">
        <v>58</v>
      </c>
      <c r="S4" s="11" t="b">
        <f aca="false">FALSE()</f>
        <v>0</v>
      </c>
    </row>
    <row r="5" customFormat="false" ht="15" hidden="false" customHeight="false" outlineLevel="0" collapsed="false">
      <c r="A5" s="10" t="s">
        <v>78</v>
      </c>
      <c r="B5" s="10" t="s">
        <v>19</v>
      </c>
      <c r="C5" s="10" t="s">
        <v>25</v>
      </c>
      <c r="D5" s="10" t="s">
        <v>46</v>
      </c>
      <c r="E5" s="10" t="s">
        <v>47</v>
      </c>
      <c r="F5" s="10" t="s">
        <v>79</v>
      </c>
      <c r="G5" s="10" t="s">
        <v>80</v>
      </c>
      <c r="H5" s="10" t="s">
        <v>81</v>
      </c>
      <c r="I5" s="10" t="s">
        <v>82</v>
      </c>
      <c r="J5" s="10" t="s">
        <v>83</v>
      </c>
      <c r="K5" s="10" t="s">
        <v>53</v>
      </c>
      <c r="L5" s="10" t="s">
        <v>84</v>
      </c>
      <c r="M5" s="10" t="s">
        <v>84</v>
      </c>
      <c r="N5" s="10" t="s">
        <v>53</v>
      </c>
      <c r="O5" s="10" t="s">
        <v>55</v>
      </c>
      <c r="P5" s="10" t="s">
        <v>56</v>
      </c>
      <c r="Q5" s="10" t="s">
        <v>85</v>
      </c>
      <c r="R5" s="10" t="s">
        <v>58</v>
      </c>
      <c r="S5" s="11" t="b">
        <f aca="false">FALSE()</f>
        <v>0</v>
      </c>
    </row>
    <row r="6" customFormat="false" ht="15" hidden="false" customHeight="false" outlineLevel="0" collapsed="false">
      <c r="A6" s="10" t="s">
        <v>86</v>
      </c>
      <c r="B6" s="10" t="s">
        <v>19</v>
      </c>
      <c r="C6" s="10" t="s">
        <v>23</v>
      </c>
      <c r="D6" s="10" t="s">
        <v>46</v>
      </c>
      <c r="E6" s="10" t="s">
        <v>87</v>
      </c>
      <c r="F6" s="10" t="s">
        <v>88</v>
      </c>
      <c r="G6" s="10" t="s">
        <v>89</v>
      </c>
      <c r="H6" s="10" t="s">
        <v>90</v>
      </c>
      <c r="I6" s="10" t="s">
        <v>91</v>
      </c>
      <c r="J6" s="10" t="s">
        <v>92</v>
      </c>
      <c r="K6" s="10" t="s">
        <v>53</v>
      </c>
      <c r="L6" s="10" t="s">
        <v>54</v>
      </c>
      <c r="M6" s="10" t="s">
        <v>54</v>
      </c>
      <c r="N6" s="10" t="s">
        <v>53</v>
      </c>
      <c r="O6" s="10" t="s">
        <v>93</v>
      </c>
      <c r="P6" s="10" t="s">
        <v>57</v>
      </c>
      <c r="Q6" s="10" t="s">
        <v>57</v>
      </c>
      <c r="R6" s="10" t="s">
        <v>58</v>
      </c>
      <c r="S6" s="11" t="b">
        <f aca="false">FALSE()</f>
        <v>0</v>
      </c>
    </row>
    <row r="7" customFormat="false" ht="15" hidden="false" customHeight="false" outlineLevel="0" collapsed="false">
      <c r="A7" s="10" t="s">
        <v>94</v>
      </c>
      <c r="B7" s="10" t="s">
        <v>16</v>
      </c>
      <c r="C7" s="10" t="s">
        <v>23</v>
      </c>
      <c r="D7" s="10" t="s">
        <v>95</v>
      </c>
      <c r="E7" s="10" t="s">
        <v>96</v>
      </c>
      <c r="F7" s="10" t="s">
        <v>97</v>
      </c>
      <c r="G7" s="10" t="s">
        <v>98</v>
      </c>
      <c r="H7" s="10" t="s">
        <v>99</v>
      </c>
      <c r="I7" s="10" t="s">
        <v>100</v>
      </c>
      <c r="J7" s="10" t="s">
        <v>101</v>
      </c>
      <c r="K7" s="10" t="s">
        <v>53</v>
      </c>
      <c r="L7" s="10" t="s">
        <v>102</v>
      </c>
      <c r="M7" s="10" t="s">
        <v>103</v>
      </c>
      <c r="N7" s="10" t="s">
        <v>53</v>
      </c>
      <c r="O7" s="10" t="s">
        <v>55</v>
      </c>
      <c r="P7" s="10" t="s">
        <v>58</v>
      </c>
      <c r="Q7" s="10" t="s">
        <v>58</v>
      </c>
      <c r="R7" s="10" t="s">
        <v>58</v>
      </c>
      <c r="S7" s="11" t="b">
        <f aca="false">FALSE()</f>
        <v>0</v>
      </c>
    </row>
    <row r="8" customFormat="false" ht="15" hidden="false" customHeight="false" outlineLevel="0" collapsed="false">
      <c r="A8" s="10" t="s">
        <v>104</v>
      </c>
      <c r="B8" s="10" t="s">
        <v>16</v>
      </c>
      <c r="C8" s="10" t="s">
        <v>24</v>
      </c>
      <c r="D8" s="10" t="s">
        <v>95</v>
      </c>
      <c r="E8" s="10" t="s">
        <v>105</v>
      </c>
      <c r="F8" s="10" t="s">
        <v>106</v>
      </c>
      <c r="G8" s="10" t="s">
        <v>107</v>
      </c>
      <c r="H8" s="10" t="s">
        <v>108</v>
      </c>
      <c r="I8" s="10" t="s">
        <v>109</v>
      </c>
      <c r="J8" s="10" t="s">
        <v>110</v>
      </c>
      <c r="K8" s="10" t="s">
        <v>53</v>
      </c>
      <c r="L8" s="10" t="s">
        <v>111</v>
      </c>
      <c r="M8" s="10" t="s">
        <v>112</v>
      </c>
      <c r="N8" s="10" t="s">
        <v>53</v>
      </c>
      <c r="O8" s="10" t="s">
        <v>55</v>
      </c>
      <c r="P8" s="10" t="s">
        <v>58</v>
      </c>
      <c r="Q8" s="10" t="s">
        <v>58</v>
      </c>
      <c r="R8" s="10" t="s">
        <v>58</v>
      </c>
      <c r="S8" s="11" t="b">
        <f aca="false">FALSE()</f>
        <v>0</v>
      </c>
    </row>
    <row r="9" customFormat="false" ht="15" hidden="false" customHeight="false" outlineLevel="0" collapsed="false">
      <c r="A9" s="10" t="s">
        <v>113</v>
      </c>
      <c r="B9" s="10" t="s">
        <v>16</v>
      </c>
      <c r="C9" s="10" t="s">
        <v>23</v>
      </c>
      <c r="D9" s="10" t="s">
        <v>95</v>
      </c>
      <c r="E9" s="10" t="s">
        <v>114</v>
      </c>
      <c r="F9" s="10" t="s">
        <v>115</v>
      </c>
      <c r="G9" s="10" t="s">
        <v>116</v>
      </c>
      <c r="H9" s="10" t="s">
        <v>117</v>
      </c>
      <c r="I9" s="10" t="s">
        <v>118</v>
      </c>
      <c r="J9" s="10" t="s">
        <v>119</v>
      </c>
      <c r="K9" s="10" t="s">
        <v>53</v>
      </c>
      <c r="L9" s="10" t="s">
        <v>120</v>
      </c>
      <c r="M9" s="10" t="s">
        <v>120</v>
      </c>
      <c r="N9" s="10" t="s">
        <v>53</v>
      </c>
      <c r="O9" s="10" t="s">
        <v>121</v>
      </c>
      <c r="P9" s="10" t="s">
        <v>58</v>
      </c>
      <c r="Q9" s="10" t="s">
        <v>58</v>
      </c>
      <c r="R9" s="10" t="s">
        <v>58</v>
      </c>
      <c r="S9" s="11" t="b">
        <f aca="false">FALSE()</f>
        <v>0</v>
      </c>
    </row>
    <row r="10" customFormat="false" ht="15" hidden="false" customHeight="false" outlineLevel="0" collapsed="false">
      <c r="A10" s="10" t="s">
        <v>122</v>
      </c>
      <c r="B10" s="10" t="s">
        <v>16</v>
      </c>
      <c r="C10" s="10" t="s">
        <v>24</v>
      </c>
      <c r="D10" s="10" t="s">
        <v>95</v>
      </c>
      <c r="E10" s="10" t="s">
        <v>123</v>
      </c>
      <c r="F10" s="10" t="s">
        <v>124</v>
      </c>
      <c r="G10" s="10" t="s">
        <v>125</v>
      </c>
      <c r="H10" s="10" t="s">
        <v>126</v>
      </c>
      <c r="I10" s="10" t="s">
        <v>127</v>
      </c>
      <c r="J10" s="10" t="s">
        <v>128</v>
      </c>
      <c r="K10" s="10" t="s">
        <v>53</v>
      </c>
      <c r="L10" s="10" t="s">
        <v>129</v>
      </c>
      <c r="M10" s="10" t="s">
        <v>129</v>
      </c>
      <c r="N10" s="10" t="s">
        <v>130</v>
      </c>
      <c r="O10" s="10" t="s">
        <v>55</v>
      </c>
      <c r="P10" s="10" t="s">
        <v>58</v>
      </c>
      <c r="Q10" s="10" t="s">
        <v>58</v>
      </c>
      <c r="R10" s="10" t="s">
        <v>58</v>
      </c>
      <c r="S10" s="11" t="b">
        <f aca="false">FALSE()</f>
        <v>0</v>
      </c>
    </row>
    <row r="11" customFormat="false" ht="15" hidden="false" customHeight="false" outlineLevel="0" collapsed="false">
      <c r="A11" s="10" t="s">
        <v>131</v>
      </c>
      <c r="B11" s="10" t="s">
        <v>14</v>
      </c>
      <c r="C11" s="10" t="s">
        <v>24</v>
      </c>
      <c r="D11" s="10" t="s">
        <v>95</v>
      </c>
      <c r="E11" s="10" t="s">
        <v>132</v>
      </c>
      <c r="F11" s="10" t="s">
        <v>133</v>
      </c>
      <c r="G11" s="10" t="s">
        <v>134</v>
      </c>
      <c r="H11" s="10" t="s">
        <v>135</v>
      </c>
      <c r="I11" s="10" t="s">
        <v>136</v>
      </c>
      <c r="J11" s="10" t="s">
        <v>137</v>
      </c>
      <c r="K11" s="10" t="s">
        <v>138</v>
      </c>
      <c r="L11" s="10" t="s">
        <v>139</v>
      </c>
      <c r="M11" s="10" t="s">
        <v>140</v>
      </c>
      <c r="N11" s="10" t="s">
        <v>53</v>
      </c>
      <c r="O11" s="10" t="s">
        <v>55</v>
      </c>
      <c r="P11" s="10" t="s">
        <v>141</v>
      </c>
      <c r="Q11" s="10" t="s">
        <v>141</v>
      </c>
      <c r="R11" s="10" t="s">
        <v>58</v>
      </c>
      <c r="S11" s="11" t="b">
        <f aca="false">FALSE()</f>
        <v>0</v>
      </c>
    </row>
    <row r="12" customFormat="false" ht="15" hidden="false" customHeight="false" outlineLevel="0" collapsed="false">
      <c r="A12" s="10" t="s">
        <v>142</v>
      </c>
      <c r="B12" s="10" t="s">
        <v>14</v>
      </c>
      <c r="C12" s="10" t="s">
        <v>23</v>
      </c>
      <c r="D12" s="10" t="s">
        <v>95</v>
      </c>
      <c r="E12" s="10" t="s">
        <v>143</v>
      </c>
      <c r="F12" s="10" t="s">
        <v>144</v>
      </c>
      <c r="G12" s="10" t="s">
        <v>145</v>
      </c>
      <c r="H12" s="10" t="s">
        <v>146</v>
      </c>
      <c r="I12" s="10" t="s">
        <v>147</v>
      </c>
      <c r="J12" s="10" t="s">
        <v>148</v>
      </c>
      <c r="K12" s="10" t="s">
        <v>53</v>
      </c>
      <c r="L12" s="10" t="s">
        <v>148</v>
      </c>
      <c r="M12" s="10" t="s">
        <v>148</v>
      </c>
      <c r="N12" s="10" t="s">
        <v>53</v>
      </c>
      <c r="O12" s="10" t="s">
        <v>55</v>
      </c>
      <c r="P12" s="10" t="s">
        <v>149</v>
      </c>
      <c r="Q12" s="10" t="s">
        <v>149</v>
      </c>
      <c r="R12" s="10" t="s">
        <v>58</v>
      </c>
      <c r="S12" s="11" t="b">
        <f aca="false">TRUE()</f>
        <v>1</v>
      </c>
    </row>
    <row r="13" customFormat="false" ht="15" hidden="false" customHeight="false" outlineLevel="0" collapsed="false">
      <c r="A13" s="10" t="s">
        <v>150</v>
      </c>
      <c r="B13" s="10" t="s">
        <v>14</v>
      </c>
      <c r="C13" s="10" t="s">
        <v>24</v>
      </c>
      <c r="D13" s="10" t="s">
        <v>95</v>
      </c>
      <c r="E13" s="10" t="s">
        <v>151</v>
      </c>
      <c r="F13" s="10" t="s">
        <v>152</v>
      </c>
      <c r="G13" s="10" t="s">
        <v>153</v>
      </c>
      <c r="H13" s="10" t="s">
        <v>154</v>
      </c>
      <c r="I13" s="10" t="s">
        <v>155</v>
      </c>
      <c r="J13" s="10" t="s">
        <v>139</v>
      </c>
      <c r="K13" s="10" t="s">
        <v>58</v>
      </c>
      <c r="L13" s="10" t="s">
        <v>156</v>
      </c>
      <c r="M13" s="10" t="s">
        <v>156</v>
      </c>
      <c r="N13" s="10" t="s">
        <v>53</v>
      </c>
      <c r="O13" s="10" t="s">
        <v>55</v>
      </c>
      <c r="P13" s="10" t="s">
        <v>157</v>
      </c>
      <c r="Q13" s="10" t="s">
        <v>157</v>
      </c>
      <c r="R13" s="11" t="b">
        <f aca="false">TRUE()</f>
        <v>1</v>
      </c>
      <c r="S13" s="11" t="b">
        <f aca="false">FALSE()</f>
        <v>0</v>
      </c>
    </row>
    <row r="14" customFormat="false" ht="15" hidden="false" customHeight="false" outlineLevel="0" collapsed="false">
      <c r="A14" s="10" t="s">
        <v>158</v>
      </c>
      <c r="B14" s="10" t="s">
        <v>14</v>
      </c>
      <c r="C14" s="10" t="s">
        <v>25</v>
      </c>
      <c r="D14" s="10" t="s">
        <v>95</v>
      </c>
      <c r="E14" s="10" t="s">
        <v>159</v>
      </c>
      <c r="F14" s="10" t="s">
        <v>160</v>
      </c>
      <c r="G14" s="10" t="s">
        <v>161</v>
      </c>
      <c r="H14" s="10" t="s">
        <v>162</v>
      </c>
      <c r="I14" s="10" t="s">
        <v>163</v>
      </c>
      <c r="J14" s="10" t="s">
        <v>164</v>
      </c>
      <c r="K14" s="10" t="s">
        <v>53</v>
      </c>
      <c r="L14" s="10" t="s">
        <v>165</v>
      </c>
      <c r="M14" s="10" t="s">
        <v>166</v>
      </c>
      <c r="N14" s="10" t="s">
        <v>53</v>
      </c>
      <c r="O14" s="10" t="s">
        <v>55</v>
      </c>
      <c r="P14" s="10" t="s">
        <v>167</v>
      </c>
      <c r="Q14" s="10" t="s">
        <v>167</v>
      </c>
      <c r="R14" s="10" t="s">
        <v>58</v>
      </c>
      <c r="S14" s="11" t="b">
        <f aca="false">FALSE()</f>
        <v>0</v>
      </c>
    </row>
    <row r="15" customFormat="false" ht="15" hidden="false" customHeight="false" outlineLevel="0" collapsed="false">
      <c r="A15" s="10" t="s">
        <v>168</v>
      </c>
      <c r="B15" s="10" t="s">
        <v>15</v>
      </c>
      <c r="C15" s="10" t="s">
        <v>24</v>
      </c>
      <c r="D15" s="10" t="s">
        <v>169</v>
      </c>
      <c r="E15" s="10" t="s">
        <v>170</v>
      </c>
      <c r="F15" s="10" t="s">
        <v>171</v>
      </c>
      <c r="G15" s="10" t="s">
        <v>172</v>
      </c>
      <c r="H15" s="10" t="s">
        <v>173</v>
      </c>
      <c r="I15" s="10" t="s">
        <v>174</v>
      </c>
      <c r="J15" s="10" t="s">
        <v>175</v>
      </c>
      <c r="K15" s="10" t="s">
        <v>53</v>
      </c>
      <c r="L15" s="10" t="s">
        <v>176</v>
      </c>
      <c r="M15" s="10" t="s">
        <v>176</v>
      </c>
      <c r="N15" s="10" t="s">
        <v>53</v>
      </c>
      <c r="O15" s="10" t="s">
        <v>55</v>
      </c>
      <c r="P15" s="10" t="s">
        <v>56</v>
      </c>
      <c r="Q15" s="10" t="s">
        <v>56</v>
      </c>
      <c r="R15" s="11" t="b">
        <f aca="false">TRUE()</f>
        <v>1</v>
      </c>
      <c r="S15" s="11" t="b">
        <f aca="false">FALSE()</f>
        <v>0</v>
      </c>
    </row>
    <row r="16" customFormat="false" ht="15" hidden="false" customHeight="false" outlineLevel="0" collapsed="false">
      <c r="A16" s="10" t="s">
        <v>177</v>
      </c>
      <c r="B16" s="10" t="s">
        <v>15</v>
      </c>
      <c r="C16" s="10" t="s">
        <v>25</v>
      </c>
      <c r="D16" s="10" t="s">
        <v>169</v>
      </c>
      <c r="E16" s="10" t="s">
        <v>178</v>
      </c>
      <c r="F16" s="10" t="s">
        <v>179</v>
      </c>
      <c r="G16" s="10" t="s">
        <v>180</v>
      </c>
      <c r="H16" s="10" t="s">
        <v>181</v>
      </c>
      <c r="I16" s="10" t="s">
        <v>182</v>
      </c>
      <c r="J16" s="10" t="s">
        <v>183</v>
      </c>
      <c r="K16" s="10" t="s">
        <v>53</v>
      </c>
      <c r="L16" s="10" t="s">
        <v>176</v>
      </c>
      <c r="M16" s="10" t="s">
        <v>176</v>
      </c>
      <c r="N16" s="10" t="s">
        <v>53</v>
      </c>
      <c r="O16" s="10" t="s">
        <v>55</v>
      </c>
      <c r="P16" s="10" t="s">
        <v>56</v>
      </c>
      <c r="Q16" s="10" t="s">
        <v>56</v>
      </c>
      <c r="R16" s="11" t="b">
        <f aca="false">TRUE()</f>
        <v>1</v>
      </c>
      <c r="S16" s="11" t="b">
        <f aca="false">FALSE()</f>
        <v>0</v>
      </c>
    </row>
    <row r="17" customFormat="false" ht="15" hidden="false" customHeight="false" outlineLevel="0" collapsed="false">
      <c r="A17" s="10" t="s">
        <v>184</v>
      </c>
      <c r="B17" s="10" t="s">
        <v>15</v>
      </c>
      <c r="C17" s="10" t="s">
        <v>24</v>
      </c>
      <c r="D17" s="10" t="s">
        <v>169</v>
      </c>
      <c r="E17" s="10" t="s">
        <v>185</v>
      </c>
      <c r="F17" s="10" t="s">
        <v>186</v>
      </c>
      <c r="G17" s="10" t="s">
        <v>187</v>
      </c>
      <c r="H17" s="10" t="s">
        <v>188</v>
      </c>
      <c r="I17" s="10" t="s">
        <v>189</v>
      </c>
      <c r="J17" s="10" t="s">
        <v>190</v>
      </c>
      <c r="K17" s="10" t="s">
        <v>53</v>
      </c>
      <c r="L17" s="10" t="s">
        <v>191</v>
      </c>
      <c r="M17" s="10" t="s">
        <v>191</v>
      </c>
      <c r="N17" s="10" t="s">
        <v>53</v>
      </c>
      <c r="O17" s="10" t="s">
        <v>55</v>
      </c>
      <c r="P17" s="10" t="s">
        <v>58</v>
      </c>
      <c r="Q17" s="10" t="s">
        <v>58</v>
      </c>
      <c r="R17" s="11" t="b">
        <f aca="false">TRUE()</f>
        <v>1</v>
      </c>
      <c r="S17" s="11" t="b">
        <f aca="false">FALSE()</f>
        <v>0</v>
      </c>
    </row>
    <row r="18" customFormat="false" ht="15" hidden="false" customHeight="false" outlineLevel="0" collapsed="false">
      <c r="A18" s="10" t="s">
        <v>192</v>
      </c>
      <c r="B18" s="10" t="s">
        <v>15</v>
      </c>
      <c r="C18" s="10" t="s">
        <v>25</v>
      </c>
      <c r="D18" s="10" t="s">
        <v>169</v>
      </c>
      <c r="E18" s="10" t="s">
        <v>193</v>
      </c>
      <c r="F18" s="10" t="s">
        <v>194</v>
      </c>
      <c r="G18" s="10" t="s">
        <v>195</v>
      </c>
      <c r="H18" s="10" t="s">
        <v>196</v>
      </c>
      <c r="I18" s="10" t="s">
        <v>197</v>
      </c>
      <c r="J18" s="10" t="s">
        <v>198</v>
      </c>
      <c r="K18" s="10" t="s">
        <v>53</v>
      </c>
      <c r="L18" s="10" t="s">
        <v>199</v>
      </c>
      <c r="M18" s="10" t="s">
        <v>199</v>
      </c>
      <c r="N18" s="10" t="s">
        <v>53</v>
      </c>
      <c r="O18" s="10" t="s">
        <v>55</v>
      </c>
      <c r="P18" s="10" t="s">
        <v>200</v>
      </c>
      <c r="Q18" s="10" t="s">
        <v>200</v>
      </c>
      <c r="R18" s="11" t="b">
        <f aca="false">TRUE()</f>
        <v>1</v>
      </c>
      <c r="S18" s="11" t="b">
        <f aca="false">FALSE()</f>
        <v>0</v>
      </c>
    </row>
    <row r="19" customFormat="false" ht="15" hidden="false" customHeight="false" outlineLevel="0" collapsed="false">
      <c r="A19" s="10" t="s">
        <v>201</v>
      </c>
      <c r="B19" s="10" t="s">
        <v>18</v>
      </c>
      <c r="C19" s="10" t="s">
        <v>23</v>
      </c>
      <c r="D19" s="10" t="s">
        <v>95</v>
      </c>
      <c r="E19" s="10" t="s">
        <v>202</v>
      </c>
      <c r="F19" s="10" t="s">
        <v>203</v>
      </c>
      <c r="G19" s="10" t="s">
        <v>204</v>
      </c>
      <c r="H19" s="10" t="s">
        <v>205</v>
      </c>
      <c r="I19" s="10" t="s">
        <v>206</v>
      </c>
      <c r="J19" s="10" t="s">
        <v>207</v>
      </c>
      <c r="K19" s="10" t="s">
        <v>53</v>
      </c>
      <c r="L19" s="10" t="s">
        <v>208</v>
      </c>
      <c r="M19" s="10" t="s">
        <v>208</v>
      </c>
      <c r="N19" s="10" t="s">
        <v>53</v>
      </c>
      <c r="O19" s="10" t="s">
        <v>55</v>
      </c>
      <c r="P19" s="10" t="s">
        <v>58</v>
      </c>
      <c r="Q19" s="10" t="s">
        <v>58</v>
      </c>
      <c r="R19" s="11" t="b">
        <f aca="false">FALSE()</f>
        <v>0</v>
      </c>
      <c r="S19" s="11" t="b">
        <f aca="false">FALSE()</f>
        <v>0</v>
      </c>
    </row>
    <row r="20" customFormat="false" ht="15" hidden="false" customHeight="false" outlineLevel="0" collapsed="false">
      <c r="A20" s="10" t="s">
        <v>209</v>
      </c>
      <c r="B20" s="10" t="s">
        <v>18</v>
      </c>
      <c r="C20" s="10" t="s">
        <v>24</v>
      </c>
      <c r="D20" s="10" t="s">
        <v>95</v>
      </c>
      <c r="E20" s="10" t="s">
        <v>210</v>
      </c>
      <c r="F20" s="10" t="s">
        <v>211</v>
      </c>
      <c r="G20" s="10" t="s">
        <v>212</v>
      </c>
      <c r="H20" s="10" t="s">
        <v>213</v>
      </c>
      <c r="I20" s="10" t="s">
        <v>214</v>
      </c>
      <c r="J20" s="10" t="s">
        <v>58</v>
      </c>
      <c r="K20" s="10" t="s">
        <v>58</v>
      </c>
      <c r="L20" s="10" t="s">
        <v>58</v>
      </c>
      <c r="M20" s="10" t="s">
        <v>215</v>
      </c>
      <c r="N20" s="10" t="s">
        <v>216</v>
      </c>
      <c r="O20" s="10" t="s">
        <v>55</v>
      </c>
      <c r="P20" s="10" t="s">
        <v>58</v>
      </c>
      <c r="Q20" s="10" t="s">
        <v>58</v>
      </c>
      <c r="R20" s="11" t="b">
        <f aca="false">FALSE()</f>
        <v>0</v>
      </c>
      <c r="S20" s="11" t="b">
        <f aca="false">FALSE()</f>
        <v>0</v>
      </c>
    </row>
    <row r="21" customFormat="false" ht="15" hidden="false" customHeight="false" outlineLevel="0" collapsed="false">
      <c r="A21" s="10" t="s">
        <v>217</v>
      </c>
      <c r="B21" s="10" t="s">
        <v>18</v>
      </c>
      <c r="C21" s="10" t="s">
        <v>24</v>
      </c>
      <c r="D21" s="10" t="s">
        <v>95</v>
      </c>
      <c r="E21" s="10" t="s">
        <v>218</v>
      </c>
      <c r="F21" s="10" t="s">
        <v>219</v>
      </c>
      <c r="G21" s="10" t="s">
        <v>220</v>
      </c>
      <c r="H21" s="10" t="s">
        <v>221</v>
      </c>
      <c r="I21" s="10" t="s">
        <v>222</v>
      </c>
      <c r="J21" s="10" t="s">
        <v>58</v>
      </c>
      <c r="K21" s="10" t="s">
        <v>58</v>
      </c>
      <c r="L21" s="10" t="s">
        <v>58</v>
      </c>
      <c r="M21" s="10" t="s">
        <v>223</v>
      </c>
      <c r="N21" s="10" t="s">
        <v>224</v>
      </c>
      <c r="O21" s="10" t="s">
        <v>55</v>
      </c>
      <c r="P21" s="10" t="s">
        <v>58</v>
      </c>
      <c r="Q21" s="10" t="s">
        <v>58</v>
      </c>
      <c r="R21" s="11" t="b">
        <f aca="false">TRUE()</f>
        <v>1</v>
      </c>
      <c r="S21" s="11" t="b">
        <f aca="false">FALSE()</f>
        <v>0</v>
      </c>
    </row>
    <row r="22" customFormat="false" ht="15" hidden="false" customHeight="false" outlineLevel="0" collapsed="false">
      <c r="A22" s="10" t="s">
        <v>225</v>
      </c>
      <c r="B22" s="10" t="s">
        <v>18</v>
      </c>
      <c r="C22" s="10" t="s">
        <v>23</v>
      </c>
      <c r="D22" s="10" t="s">
        <v>95</v>
      </c>
      <c r="E22" s="10" t="s">
        <v>226</v>
      </c>
      <c r="F22" s="10" t="s">
        <v>227</v>
      </c>
      <c r="G22" s="10" t="s">
        <v>228</v>
      </c>
      <c r="H22" s="10" t="s">
        <v>229</v>
      </c>
      <c r="I22" s="10" t="s">
        <v>230</v>
      </c>
      <c r="J22" s="10" t="s">
        <v>58</v>
      </c>
      <c r="K22" s="10" t="s">
        <v>58</v>
      </c>
      <c r="L22" s="10" t="s">
        <v>58</v>
      </c>
      <c r="M22" s="10" t="s">
        <v>231</v>
      </c>
      <c r="N22" s="10" t="s">
        <v>224</v>
      </c>
      <c r="O22" s="10" t="s">
        <v>55</v>
      </c>
      <c r="P22" s="10" t="s">
        <v>58</v>
      </c>
      <c r="Q22" s="10" t="s">
        <v>58</v>
      </c>
      <c r="R22" s="11" t="b">
        <f aca="false">TRUE()</f>
        <v>1</v>
      </c>
      <c r="S22" s="11" t="b">
        <f aca="false">FALSE()</f>
        <v>0</v>
      </c>
    </row>
    <row r="23" customFormat="false" ht="15" hidden="false" customHeight="false" outlineLevel="0" collapsed="false">
      <c r="A23" s="10" t="s">
        <v>232</v>
      </c>
      <c r="B23" s="10" t="s">
        <v>13</v>
      </c>
      <c r="C23" s="10" t="s">
        <v>23</v>
      </c>
      <c r="D23" s="10" t="s">
        <v>233</v>
      </c>
      <c r="E23" s="10" t="s">
        <v>234</v>
      </c>
      <c r="F23" s="10" t="s">
        <v>235</v>
      </c>
      <c r="G23" s="10" t="s">
        <v>236</v>
      </c>
      <c r="H23" s="10" t="s">
        <v>237</v>
      </c>
      <c r="I23" s="10" t="s">
        <v>238</v>
      </c>
      <c r="J23" s="10" t="s">
        <v>239</v>
      </c>
      <c r="K23" s="10" t="s">
        <v>53</v>
      </c>
      <c r="L23" s="10" t="s">
        <v>240</v>
      </c>
      <c r="M23" s="10" t="s">
        <v>240</v>
      </c>
      <c r="N23" s="10" t="s">
        <v>53</v>
      </c>
      <c r="O23" s="10" t="s">
        <v>55</v>
      </c>
      <c r="P23" s="10" t="s">
        <v>241</v>
      </c>
      <c r="Q23" s="10" t="s">
        <v>241</v>
      </c>
      <c r="R23" s="11" t="b">
        <f aca="false">TRUE()</f>
        <v>1</v>
      </c>
      <c r="S23" s="11" t="b">
        <f aca="false">FALSE()</f>
        <v>0</v>
      </c>
    </row>
    <row r="24" customFormat="false" ht="15" hidden="false" customHeight="false" outlineLevel="0" collapsed="false">
      <c r="A24" s="10" t="s">
        <v>242</v>
      </c>
      <c r="B24" s="10" t="s">
        <v>13</v>
      </c>
      <c r="C24" s="10" t="s">
        <v>24</v>
      </c>
      <c r="D24" s="10" t="s">
        <v>233</v>
      </c>
      <c r="E24" s="10" t="s">
        <v>243</v>
      </c>
      <c r="F24" s="10" t="s">
        <v>244</v>
      </c>
      <c r="G24" s="10" t="s">
        <v>245</v>
      </c>
      <c r="H24" s="10" t="s">
        <v>246</v>
      </c>
      <c r="I24" s="10" t="s">
        <v>247</v>
      </c>
      <c r="J24" s="10" t="s">
        <v>248</v>
      </c>
      <c r="K24" s="10" t="s">
        <v>53</v>
      </c>
      <c r="L24" s="10" t="s">
        <v>249</v>
      </c>
      <c r="M24" s="10" t="s">
        <v>249</v>
      </c>
      <c r="N24" s="10" t="s">
        <v>53</v>
      </c>
      <c r="O24" s="10" t="s">
        <v>55</v>
      </c>
      <c r="P24" s="10" t="s">
        <v>250</v>
      </c>
      <c r="Q24" s="10" t="s">
        <v>250</v>
      </c>
      <c r="R24" s="11" t="b">
        <f aca="false">TRUE()</f>
        <v>1</v>
      </c>
      <c r="S24" s="11" t="b">
        <f aca="false">FALSE()</f>
        <v>0</v>
      </c>
    </row>
    <row r="25" customFormat="false" ht="15" hidden="false" customHeight="false" outlineLevel="0" collapsed="false">
      <c r="A25" s="10" t="s">
        <v>251</v>
      </c>
      <c r="B25" s="10" t="s">
        <v>13</v>
      </c>
      <c r="C25" s="10" t="s">
        <v>25</v>
      </c>
      <c r="D25" s="10" t="s">
        <v>233</v>
      </c>
      <c r="E25" s="10" t="s">
        <v>252</v>
      </c>
      <c r="F25" s="10" t="s">
        <v>253</v>
      </c>
      <c r="G25" s="10" t="s">
        <v>254</v>
      </c>
      <c r="H25" s="10" t="s">
        <v>255</v>
      </c>
      <c r="I25" s="10" t="s">
        <v>256</v>
      </c>
      <c r="J25" s="10" t="s">
        <v>257</v>
      </c>
      <c r="K25" s="10" t="s">
        <v>53</v>
      </c>
      <c r="L25" s="10" t="s">
        <v>258</v>
      </c>
      <c r="M25" s="10" t="s">
        <v>258</v>
      </c>
      <c r="N25" s="10" t="s">
        <v>53</v>
      </c>
      <c r="O25" s="10" t="s">
        <v>55</v>
      </c>
      <c r="P25" s="10" t="s">
        <v>259</v>
      </c>
      <c r="Q25" s="10" t="s">
        <v>259</v>
      </c>
      <c r="R25" s="11" t="b">
        <f aca="false">TRUE()</f>
        <v>1</v>
      </c>
      <c r="S25" s="11" t="b">
        <f aca="false">FALSE()</f>
        <v>0</v>
      </c>
    </row>
    <row r="26" customFormat="false" ht="15" hidden="false" customHeight="false" outlineLevel="0" collapsed="false">
      <c r="A26" s="10" t="s">
        <v>260</v>
      </c>
      <c r="B26" s="10" t="s">
        <v>13</v>
      </c>
      <c r="C26" s="10" t="s">
        <v>24</v>
      </c>
      <c r="D26" s="10" t="s">
        <v>233</v>
      </c>
      <c r="E26" s="10" t="s">
        <v>261</v>
      </c>
      <c r="F26" s="10" t="s">
        <v>262</v>
      </c>
      <c r="G26" s="10" t="s">
        <v>263</v>
      </c>
      <c r="H26" s="10" t="s">
        <v>264</v>
      </c>
      <c r="I26" s="10" t="s">
        <v>265</v>
      </c>
      <c r="J26" s="10" t="s">
        <v>266</v>
      </c>
      <c r="K26" s="10" t="s">
        <v>53</v>
      </c>
      <c r="L26" s="10" t="s">
        <v>267</v>
      </c>
      <c r="M26" s="10" t="s">
        <v>267</v>
      </c>
      <c r="N26" s="10" t="s">
        <v>53</v>
      </c>
      <c r="O26" s="10" t="s">
        <v>55</v>
      </c>
      <c r="P26" s="10" t="s">
        <v>268</v>
      </c>
      <c r="Q26" s="10" t="s">
        <v>268</v>
      </c>
      <c r="R26" s="11" t="b">
        <f aca="false">TRUE()</f>
        <v>1</v>
      </c>
      <c r="S26" s="11" t="b">
        <f aca="false">FALSE()</f>
        <v>0</v>
      </c>
    </row>
    <row r="27" customFormat="false" ht="15" hidden="false" customHeight="false" outlineLevel="0" collapsed="false">
      <c r="A27" s="10" t="s">
        <v>269</v>
      </c>
      <c r="B27" s="10" t="s">
        <v>17</v>
      </c>
      <c r="C27" s="10" t="s">
        <v>23</v>
      </c>
      <c r="D27" s="10" t="s">
        <v>95</v>
      </c>
      <c r="E27" s="10" t="s">
        <v>270</v>
      </c>
      <c r="F27" s="10" t="s">
        <v>271</v>
      </c>
      <c r="G27" s="10" t="s">
        <v>272</v>
      </c>
      <c r="H27" s="10" t="s">
        <v>273</v>
      </c>
      <c r="I27" s="10" t="s">
        <v>274</v>
      </c>
      <c r="J27" s="10" t="s">
        <v>275</v>
      </c>
      <c r="K27" s="10" t="s">
        <v>53</v>
      </c>
      <c r="L27" s="10" t="s">
        <v>276</v>
      </c>
      <c r="M27" s="10" t="s">
        <v>276</v>
      </c>
      <c r="N27" s="10" t="s">
        <v>53</v>
      </c>
      <c r="O27" s="10" t="s">
        <v>55</v>
      </c>
      <c r="P27" s="10" t="s">
        <v>58</v>
      </c>
      <c r="Q27" s="10" t="s">
        <v>58</v>
      </c>
      <c r="R27" s="11" t="b">
        <f aca="false">TRUE()</f>
        <v>1</v>
      </c>
      <c r="S27" s="11" t="b">
        <f aca="false">FALSE()</f>
        <v>0</v>
      </c>
    </row>
    <row r="28" customFormat="false" ht="15" hidden="false" customHeight="false" outlineLevel="0" collapsed="false">
      <c r="A28" s="10" t="s">
        <v>277</v>
      </c>
      <c r="B28" s="10" t="s">
        <v>17</v>
      </c>
      <c r="C28" s="10" t="s">
        <v>24</v>
      </c>
      <c r="D28" s="10" t="s">
        <v>95</v>
      </c>
      <c r="E28" s="10" t="s">
        <v>278</v>
      </c>
      <c r="F28" s="10" t="s">
        <v>279</v>
      </c>
      <c r="G28" s="10" t="s">
        <v>280</v>
      </c>
      <c r="H28" s="10" t="s">
        <v>281</v>
      </c>
      <c r="I28" s="10" t="s">
        <v>282</v>
      </c>
      <c r="J28" s="10" t="s">
        <v>283</v>
      </c>
      <c r="K28" s="10" t="s">
        <v>53</v>
      </c>
      <c r="L28" s="10" t="s">
        <v>276</v>
      </c>
      <c r="M28" s="10" t="s">
        <v>276</v>
      </c>
      <c r="N28" s="10" t="s">
        <v>53</v>
      </c>
      <c r="O28" s="10" t="s">
        <v>55</v>
      </c>
      <c r="P28" s="10" t="s">
        <v>58</v>
      </c>
      <c r="Q28" s="10" t="s">
        <v>58</v>
      </c>
      <c r="R28" s="11" t="b">
        <f aca="false">TRUE()</f>
        <v>1</v>
      </c>
      <c r="S28" s="11" t="b">
        <f aca="false">FALSE()</f>
        <v>0</v>
      </c>
    </row>
    <row r="29" customFormat="false" ht="15" hidden="false" customHeight="false" outlineLevel="0" collapsed="false">
      <c r="A29" s="10" t="s">
        <v>284</v>
      </c>
      <c r="B29" s="10" t="s">
        <v>17</v>
      </c>
      <c r="C29" s="10" t="s">
        <v>25</v>
      </c>
      <c r="D29" s="10" t="s">
        <v>95</v>
      </c>
      <c r="E29" s="10" t="s">
        <v>285</v>
      </c>
      <c r="F29" s="10" t="s">
        <v>286</v>
      </c>
      <c r="G29" s="10" t="s">
        <v>287</v>
      </c>
      <c r="H29" s="10" t="s">
        <v>288</v>
      </c>
      <c r="I29" s="10" t="s">
        <v>289</v>
      </c>
      <c r="J29" s="10" t="s">
        <v>290</v>
      </c>
      <c r="K29" s="10" t="s">
        <v>53</v>
      </c>
      <c r="L29" s="10" t="s">
        <v>291</v>
      </c>
      <c r="M29" s="10" t="s">
        <v>291</v>
      </c>
      <c r="N29" s="10" t="s">
        <v>53</v>
      </c>
      <c r="O29" s="10" t="s">
        <v>55</v>
      </c>
      <c r="P29" s="10" t="s">
        <v>292</v>
      </c>
      <c r="Q29" s="10" t="s">
        <v>292</v>
      </c>
      <c r="R29" s="11" t="b">
        <f aca="false">TRUE()</f>
        <v>1</v>
      </c>
      <c r="S29" s="11" t="b">
        <f aca="false">FALSE()</f>
        <v>0</v>
      </c>
    </row>
    <row r="30" customFormat="false" ht="15" hidden="false" customHeight="false" outlineLevel="0" collapsed="false">
      <c r="A30" s="10" t="s">
        <v>293</v>
      </c>
      <c r="B30" s="10" t="s">
        <v>20</v>
      </c>
      <c r="C30" s="10" t="s">
        <v>24</v>
      </c>
      <c r="D30" s="10" t="s">
        <v>46</v>
      </c>
      <c r="E30" s="10" t="s">
        <v>294</v>
      </c>
      <c r="F30" s="10" t="s">
        <v>295</v>
      </c>
      <c r="G30" s="10" t="s">
        <v>296</v>
      </c>
      <c r="H30" s="10" t="s">
        <v>297</v>
      </c>
      <c r="I30" s="10" t="s">
        <v>298</v>
      </c>
      <c r="J30" s="10" t="s">
        <v>299</v>
      </c>
      <c r="K30" s="10" t="s">
        <v>53</v>
      </c>
      <c r="L30" s="10" t="s">
        <v>54</v>
      </c>
      <c r="M30" s="10" t="s">
        <v>54</v>
      </c>
      <c r="N30" s="10" t="s">
        <v>53</v>
      </c>
      <c r="O30" s="10" t="s">
        <v>55</v>
      </c>
      <c r="P30" s="10" t="s">
        <v>57</v>
      </c>
      <c r="Q30" s="10" t="s">
        <v>57</v>
      </c>
      <c r="R30" s="11" t="b">
        <f aca="false">TRUE()</f>
        <v>1</v>
      </c>
      <c r="S30" s="11" t="b">
        <f aca="false">FALSE()</f>
        <v>0</v>
      </c>
    </row>
    <row r="31" customFormat="false" ht="15" hidden="false" customHeight="false" outlineLevel="0" collapsed="false">
      <c r="A31" s="10" t="s">
        <v>300</v>
      </c>
      <c r="B31" s="10" t="s">
        <v>20</v>
      </c>
      <c r="C31" s="10" t="s">
        <v>25</v>
      </c>
      <c r="D31" s="10" t="s">
        <v>301</v>
      </c>
      <c r="E31" s="10" t="s">
        <v>302</v>
      </c>
      <c r="F31" s="10" t="s">
        <v>303</v>
      </c>
      <c r="G31" s="10" t="s">
        <v>304</v>
      </c>
      <c r="H31" s="10" t="s">
        <v>305</v>
      </c>
      <c r="I31" s="10" t="s">
        <v>306</v>
      </c>
      <c r="J31" s="10" t="s">
        <v>58</v>
      </c>
      <c r="K31" s="10" t="s">
        <v>58</v>
      </c>
      <c r="L31" s="10" t="s">
        <v>58</v>
      </c>
      <c r="M31" s="10" t="s">
        <v>58</v>
      </c>
      <c r="N31" s="10" t="s">
        <v>58</v>
      </c>
      <c r="O31" s="10" t="s">
        <v>55</v>
      </c>
      <c r="P31" s="10" t="s">
        <v>58</v>
      </c>
      <c r="Q31" s="10" t="s">
        <v>58</v>
      </c>
      <c r="R31" s="10" t="s">
        <v>58</v>
      </c>
      <c r="S31" s="11"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2"/>
    <col collapsed="false" customWidth="true" hidden="false" outlineLevel="0" max="4" min="3" style="0" width="12"/>
    <col collapsed="false" customWidth="true" hidden="false" outlineLevel="0" max="7" min="5" style="0" width="42"/>
  </cols>
  <sheetData>
    <row r="1" customFormat="false" ht="15" hidden="false" customHeight="false" outlineLevel="0" collapsed="false">
      <c r="A1" s="9" t="s">
        <v>26</v>
      </c>
      <c r="B1" s="9" t="s">
        <v>307</v>
      </c>
      <c r="C1" s="9" t="s">
        <v>308</v>
      </c>
      <c r="D1" s="9" t="s">
        <v>29</v>
      </c>
      <c r="E1" s="9" t="s">
        <v>309</v>
      </c>
      <c r="F1" s="9" t="s">
        <v>310</v>
      </c>
      <c r="G1" s="9" t="s">
        <v>311</v>
      </c>
    </row>
    <row r="2" customFormat="false" ht="15" hidden="false" customHeight="false" outlineLevel="0" collapsed="false">
      <c r="A2" s="10" t="s">
        <v>45</v>
      </c>
      <c r="B2" s="10" t="s">
        <v>312</v>
      </c>
      <c r="C2" s="10" t="s">
        <v>313</v>
      </c>
      <c r="D2" s="10" t="s">
        <v>46</v>
      </c>
      <c r="E2" s="10" t="s">
        <v>314</v>
      </c>
      <c r="F2" s="10" t="s">
        <v>315</v>
      </c>
      <c r="G2" s="10" t="s">
        <v>316</v>
      </c>
    </row>
    <row r="3" customFormat="false" ht="15" hidden="false" customHeight="false" outlineLevel="0" collapsed="false">
      <c r="A3" s="10" t="s">
        <v>59</v>
      </c>
      <c r="B3" s="10" t="s">
        <v>317</v>
      </c>
      <c r="C3" s="10" t="s">
        <v>313</v>
      </c>
      <c r="D3" s="10" t="s">
        <v>46</v>
      </c>
      <c r="E3" s="10" t="s">
        <v>318</v>
      </c>
      <c r="F3" s="10" t="s">
        <v>315</v>
      </c>
      <c r="G3" s="10" t="s">
        <v>319</v>
      </c>
    </row>
    <row r="4" customFormat="false" ht="15" hidden="false" customHeight="false" outlineLevel="0" collapsed="false">
      <c r="A4" s="10" t="s">
        <v>69</v>
      </c>
      <c r="B4" s="10" t="s">
        <v>320</v>
      </c>
      <c r="C4" s="10" t="s">
        <v>321</v>
      </c>
      <c r="D4" s="10" t="s">
        <v>46</v>
      </c>
      <c r="E4" s="10" t="s">
        <v>322</v>
      </c>
      <c r="F4" s="10" t="s">
        <v>323</v>
      </c>
      <c r="G4" s="10" t="s">
        <v>324</v>
      </c>
    </row>
    <row r="5" customFormat="false" ht="15" hidden="false" customHeight="false" outlineLevel="0" collapsed="false">
      <c r="A5" s="10" t="s">
        <v>78</v>
      </c>
      <c r="B5" s="10" t="s">
        <v>325</v>
      </c>
      <c r="C5" s="10" t="s">
        <v>313</v>
      </c>
      <c r="D5" s="10" t="s">
        <v>46</v>
      </c>
      <c r="E5" s="10" t="s">
        <v>326</v>
      </c>
      <c r="F5" s="10" t="s">
        <v>315</v>
      </c>
      <c r="G5" s="10" t="s">
        <v>327</v>
      </c>
    </row>
    <row r="6" customFormat="false" ht="15" hidden="false" customHeight="false" outlineLevel="0" collapsed="false">
      <c r="A6" s="10" t="s">
        <v>86</v>
      </c>
      <c r="B6" s="10" t="s">
        <v>328</v>
      </c>
      <c r="C6" s="10" t="s">
        <v>313</v>
      </c>
      <c r="D6" s="10" t="s">
        <v>95</v>
      </c>
      <c r="E6" s="10" t="s">
        <v>329</v>
      </c>
      <c r="F6" s="10" t="s">
        <v>330</v>
      </c>
      <c r="G6" s="10" t="s">
        <v>331</v>
      </c>
    </row>
    <row r="7" customFormat="false" ht="15" hidden="false" customHeight="false" outlineLevel="0" collapsed="false">
      <c r="A7" s="10" t="s">
        <v>94</v>
      </c>
      <c r="B7" s="10" t="s">
        <v>332</v>
      </c>
      <c r="C7" s="10" t="s">
        <v>313</v>
      </c>
      <c r="D7" s="10" t="s">
        <v>95</v>
      </c>
      <c r="E7" s="10" t="s">
        <v>333</v>
      </c>
      <c r="F7" s="10" t="s">
        <v>330</v>
      </c>
      <c r="G7" s="10" t="s">
        <v>334</v>
      </c>
    </row>
    <row r="8" customFormat="false" ht="15" hidden="false" customHeight="false" outlineLevel="0" collapsed="false">
      <c r="A8" s="10" t="s">
        <v>104</v>
      </c>
      <c r="B8" s="10" t="s">
        <v>335</v>
      </c>
      <c r="C8" s="10" t="s">
        <v>313</v>
      </c>
      <c r="D8" s="10" t="s">
        <v>95</v>
      </c>
      <c r="E8" s="10" t="s">
        <v>336</v>
      </c>
      <c r="F8" s="10" t="s">
        <v>337</v>
      </c>
      <c r="G8" s="10" t="s">
        <v>338</v>
      </c>
    </row>
    <row r="9" customFormat="false" ht="15" hidden="false" customHeight="false" outlineLevel="0" collapsed="false">
      <c r="A9" s="10" t="s">
        <v>113</v>
      </c>
      <c r="B9" s="10" t="s">
        <v>339</v>
      </c>
      <c r="C9" s="10" t="s">
        <v>313</v>
      </c>
      <c r="D9" s="10" t="s">
        <v>301</v>
      </c>
      <c r="E9" s="10" t="s">
        <v>340</v>
      </c>
      <c r="F9" s="10" t="s">
        <v>341</v>
      </c>
      <c r="G9" s="10" t="s">
        <v>342</v>
      </c>
    </row>
    <row r="10" customFormat="false" ht="15" hidden="false" customHeight="false" outlineLevel="0" collapsed="false">
      <c r="A10" s="10" t="s">
        <v>122</v>
      </c>
      <c r="B10" s="10" t="s">
        <v>343</v>
      </c>
      <c r="C10" s="10" t="s">
        <v>321</v>
      </c>
      <c r="D10" s="10" t="s">
        <v>95</v>
      </c>
      <c r="E10" s="10" t="s">
        <v>344</v>
      </c>
      <c r="F10" s="10" t="s">
        <v>337</v>
      </c>
      <c r="G10" s="10" t="s">
        <v>345</v>
      </c>
    </row>
    <row r="11" customFormat="false" ht="15" hidden="false" customHeight="false" outlineLevel="0" collapsed="false">
      <c r="A11" s="10" t="s">
        <v>131</v>
      </c>
      <c r="B11" s="10" t="s">
        <v>346</v>
      </c>
      <c r="C11" s="10" t="s">
        <v>313</v>
      </c>
      <c r="D11" s="10" t="s">
        <v>95</v>
      </c>
      <c r="E11" s="10" t="s">
        <v>347</v>
      </c>
      <c r="F11" s="10" t="s">
        <v>348</v>
      </c>
      <c r="G11" s="10" t="s">
        <v>349</v>
      </c>
    </row>
    <row r="12" customFormat="false" ht="15" hidden="false" customHeight="false" outlineLevel="0" collapsed="false">
      <c r="A12" s="10" t="s">
        <v>142</v>
      </c>
      <c r="B12" s="10" t="s">
        <v>350</v>
      </c>
      <c r="C12" s="10" t="s">
        <v>313</v>
      </c>
      <c r="D12" s="10" t="s">
        <v>95</v>
      </c>
      <c r="E12" s="10" t="s">
        <v>351</v>
      </c>
      <c r="F12" s="10" t="s">
        <v>352</v>
      </c>
      <c r="G12" s="10" t="s">
        <v>353</v>
      </c>
    </row>
    <row r="13" customFormat="false" ht="15" hidden="false" customHeight="false" outlineLevel="0" collapsed="false">
      <c r="A13" s="10" t="s">
        <v>150</v>
      </c>
      <c r="B13" s="10" t="s">
        <v>354</v>
      </c>
      <c r="C13" s="10" t="s">
        <v>313</v>
      </c>
      <c r="D13" s="10" t="s">
        <v>95</v>
      </c>
      <c r="E13" s="10" t="s">
        <v>355</v>
      </c>
      <c r="F13" s="10" t="s">
        <v>356</v>
      </c>
      <c r="G13" s="10" t="s">
        <v>357</v>
      </c>
    </row>
    <row r="14" customFormat="false" ht="15" hidden="false" customHeight="false" outlineLevel="0" collapsed="false">
      <c r="A14" s="10" t="s">
        <v>158</v>
      </c>
      <c r="B14" s="10" t="s">
        <v>358</v>
      </c>
      <c r="C14" s="10" t="s">
        <v>359</v>
      </c>
      <c r="D14" s="10" t="s">
        <v>95</v>
      </c>
      <c r="E14" s="10" t="s">
        <v>360</v>
      </c>
      <c r="F14" s="10" t="s">
        <v>361</v>
      </c>
      <c r="G14" s="10" t="s">
        <v>362</v>
      </c>
    </row>
    <row r="15" customFormat="false" ht="15" hidden="false" customHeight="false" outlineLevel="0" collapsed="false">
      <c r="A15" s="10" t="s">
        <v>168</v>
      </c>
      <c r="B15" s="10" t="s">
        <v>363</v>
      </c>
      <c r="C15" s="10" t="s">
        <v>313</v>
      </c>
      <c r="D15" s="10" t="s">
        <v>169</v>
      </c>
      <c r="E15" s="10" t="s">
        <v>364</v>
      </c>
      <c r="F15" s="10" t="s">
        <v>365</v>
      </c>
      <c r="G15" s="10" t="s">
        <v>366</v>
      </c>
    </row>
    <row r="16" customFormat="false" ht="15" hidden="false" customHeight="false" outlineLevel="0" collapsed="false">
      <c r="A16" s="10" t="s">
        <v>177</v>
      </c>
      <c r="B16" s="10" t="s">
        <v>367</v>
      </c>
      <c r="C16" s="10" t="s">
        <v>313</v>
      </c>
      <c r="D16" s="10" t="s">
        <v>169</v>
      </c>
      <c r="E16" s="10" t="s">
        <v>368</v>
      </c>
      <c r="F16" s="10" t="s">
        <v>337</v>
      </c>
      <c r="G16" s="10" t="s">
        <v>369</v>
      </c>
    </row>
    <row r="17" customFormat="false" ht="15" hidden="false" customHeight="false" outlineLevel="0" collapsed="false">
      <c r="A17" s="10" t="s">
        <v>184</v>
      </c>
      <c r="B17" s="10" t="s">
        <v>370</v>
      </c>
      <c r="C17" s="10" t="s">
        <v>313</v>
      </c>
      <c r="D17" s="10" t="s">
        <v>233</v>
      </c>
      <c r="E17" s="10" t="s">
        <v>371</v>
      </c>
      <c r="F17" s="10" t="s">
        <v>372</v>
      </c>
      <c r="G17" s="10" t="s">
        <v>373</v>
      </c>
    </row>
    <row r="18" customFormat="false" ht="15" hidden="false" customHeight="false" outlineLevel="0" collapsed="false">
      <c r="A18" s="10" t="s">
        <v>192</v>
      </c>
      <c r="B18" s="10" t="s">
        <v>374</v>
      </c>
      <c r="C18" s="10" t="s">
        <v>313</v>
      </c>
      <c r="D18" s="10" t="s">
        <v>169</v>
      </c>
      <c r="E18" s="10" t="s">
        <v>375</v>
      </c>
      <c r="F18" s="10" t="s">
        <v>376</v>
      </c>
      <c r="G18" s="10" t="s">
        <v>377</v>
      </c>
    </row>
    <row r="19" customFormat="false" ht="15" hidden="false" customHeight="false" outlineLevel="0" collapsed="false">
      <c r="A19" s="10" t="s">
        <v>201</v>
      </c>
      <c r="B19" s="10" t="s">
        <v>378</v>
      </c>
      <c r="C19" s="10" t="s">
        <v>313</v>
      </c>
      <c r="D19" s="10" t="s">
        <v>95</v>
      </c>
      <c r="E19" s="10" t="s">
        <v>379</v>
      </c>
      <c r="F19" s="10" t="s">
        <v>380</v>
      </c>
      <c r="G19" s="10" t="s">
        <v>381</v>
      </c>
    </row>
    <row r="20" customFormat="false" ht="15" hidden="false" customHeight="false" outlineLevel="0" collapsed="false">
      <c r="A20" s="10" t="s">
        <v>209</v>
      </c>
      <c r="B20" s="10" t="s">
        <v>382</v>
      </c>
      <c r="C20" s="10" t="s">
        <v>321</v>
      </c>
      <c r="D20" s="10" t="s">
        <v>95</v>
      </c>
      <c r="E20" s="10" t="s">
        <v>383</v>
      </c>
      <c r="F20" s="10" t="s">
        <v>384</v>
      </c>
      <c r="G20" s="10" t="s">
        <v>385</v>
      </c>
    </row>
    <row r="21" customFormat="false" ht="15" hidden="false" customHeight="false" outlineLevel="0" collapsed="false">
      <c r="A21" s="10" t="s">
        <v>217</v>
      </c>
      <c r="B21" s="10" t="s">
        <v>386</v>
      </c>
      <c r="C21" s="10" t="s">
        <v>313</v>
      </c>
      <c r="D21" s="10" t="s">
        <v>95</v>
      </c>
      <c r="E21" s="10" t="s">
        <v>387</v>
      </c>
      <c r="F21" s="10" t="s">
        <v>388</v>
      </c>
      <c r="G21" s="10" t="s">
        <v>389</v>
      </c>
    </row>
    <row r="22" customFormat="false" ht="15" hidden="false" customHeight="false" outlineLevel="0" collapsed="false">
      <c r="A22" s="10" t="s">
        <v>225</v>
      </c>
      <c r="B22" s="10" t="s">
        <v>390</v>
      </c>
      <c r="C22" s="10" t="s">
        <v>321</v>
      </c>
      <c r="D22" s="10" t="s">
        <v>95</v>
      </c>
      <c r="E22" s="10" t="s">
        <v>391</v>
      </c>
      <c r="F22" s="10" t="s">
        <v>392</v>
      </c>
      <c r="G22" s="10" t="s">
        <v>393</v>
      </c>
    </row>
    <row r="23" customFormat="false" ht="15" hidden="false" customHeight="false" outlineLevel="0" collapsed="false">
      <c r="A23" s="10" t="s">
        <v>232</v>
      </c>
      <c r="B23" s="10" t="s">
        <v>394</v>
      </c>
      <c r="C23" s="10" t="s">
        <v>313</v>
      </c>
      <c r="D23" s="10" t="s">
        <v>233</v>
      </c>
      <c r="E23" s="10" t="s">
        <v>395</v>
      </c>
      <c r="F23" s="10" t="s">
        <v>396</v>
      </c>
      <c r="G23" s="10" t="s">
        <v>397</v>
      </c>
    </row>
    <row r="24" customFormat="false" ht="15" hidden="false" customHeight="false" outlineLevel="0" collapsed="false">
      <c r="A24" s="10" t="s">
        <v>242</v>
      </c>
      <c r="B24" s="10" t="s">
        <v>398</v>
      </c>
      <c r="C24" s="10" t="s">
        <v>321</v>
      </c>
      <c r="D24" s="10" t="s">
        <v>233</v>
      </c>
      <c r="E24" s="10" t="s">
        <v>399</v>
      </c>
      <c r="F24" s="10" t="s">
        <v>400</v>
      </c>
      <c r="G24" s="10" t="s">
        <v>401</v>
      </c>
    </row>
    <row r="25" customFormat="false" ht="15" hidden="false" customHeight="false" outlineLevel="0" collapsed="false">
      <c r="A25" s="10" t="s">
        <v>251</v>
      </c>
      <c r="B25" s="10" t="s">
        <v>402</v>
      </c>
      <c r="C25" s="10" t="s">
        <v>313</v>
      </c>
      <c r="D25" s="10" t="s">
        <v>233</v>
      </c>
      <c r="E25" s="10" t="s">
        <v>403</v>
      </c>
      <c r="F25" s="10" t="s">
        <v>404</v>
      </c>
      <c r="G25" s="10" t="s">
        <v>405</v>
      </c>
    </row>
    <row r="26" customFormat="false" ht="15" hidden="false" customHeight="false" outlineLevel="0" collapsed="false">
      <c r="A26" s="10" t="s">
        <v>260</v>
      </c>
      <c r="B26" s="10" t="s">
        <v>406</v>
      </c>
      <c r="C26" s="10" t="s">
        <v>313</v>
      </c>
      <c r="D26" s="10" t="s">
        <v>233</v>
      </c>
      <c r="E26" s="10" t="s">
        <v>407</v>
      </c>
      <c r="F26" s="10" t="s">
        <v>408</v>
      </c>
      <c r="G26" s="10" t="s">
        <v>409</v>
      </c>
    </row>
    <row r="27" customFormat="false" ht="15" hidden="false" customHeight="false" outlineLevel="0" collapsed="false">
      <c r="A27" s="10" t="s">
        <v>269</v>
      </c>
      <c r="B27" s="10" t="s">
        <v>410</v>
      </c>
      <c r="C27" s="10" t="s">
        <v>313</v>
      </c>
      <c r="D27" s="10" t="s">
        <v>95</v>
      </c>
      <c r="E27" s="10" t="s">
        <v>411</v>
      </c>
      <c r="F27" s="10" t="s">
        <v>412</v>
      </c>
      <c r="G27" s="10" t="s">
        <v>413</v>
      </c>
    </row>
    <row r="28" customFormat="false" ht="15" hidden="false" customHeight="false" outlineLevel="0" collapsed="false">
      <c r="A28" s="10" t="s">
        <v>277</v>
      </c>
      <c r="B28" s="10" t="s">
        <v>414</v>
      </c>
      <c r="C28" s="10" t="s">
        <v>359</v>
      </c>
      <c r="D28" s="10" t="s">
        <v>95</v>
      </c>
      <c r="E28" s="10" t="s">
        <v>415</v>
      </c>
      <c r="F28" s="10" t="s">
        <v>416</v>
      </c>
      <c r="G28" s="10" t="s">
        <v>417</v>
      </c>
    </row>
    <row r="29" customFormat="false" ht="15" hidden="false" customHeight="false" outlineLevel="0" collapsed="false">
      <c r="A29" s="10" t="s">
        <v>284</v>
      </c>
      <c r="B29" s="10" t="s">
        <v>418</v>
      </c>
      <c r="C29" s="10" t="s">
        <v>313</v>
      </c>
      <c r="D29" s="10" t="s">
        <v>95</v>
      </c>
      <c r="E29" s="10" t="s">
        <v>419</v>
      </c>
      <c r="F29" s="10" t="s">
        <v>420</v>
      </c>
      <c r="G29" s="10" t="s">
        <v>421</v>
      </c>
    </row>
    <row r="30" customFormat="false" ht="15" hidden="false" customHeight="false" outlineLevel="0" collapsed="false">
      <c r="A30" s="10" t="s">
        <v>293</v>
      </c>
      <c r="B30" s="10" t="s">
        <v>422</v>
      </c>
      <c r="C30" s="10" t="s">
        <v>313</v>
      </c>
      <c r="D30" s="10" t="s">
        <v>46</v>
      </c>
      <c r="E30" s="10" t="s">
        <v>423</v>
      </c>
      <c r="F30" s="10" t="s">
        <v>424</v>
      </c>
      <c r="G30" s="10" t="s">
        <v>425</v>
      </c>
    </row>
    <row r="31" customFormat="false" ht="15" hidden="false" customHeight="false" outlineLevel="0" collapsed="false">
      <c r="A31" s="10" t="s">
        <v>300</v>
      </c>
      <c r="B31" s="10" t="s">
        <v>426</v>
      </c>
      <c r="C31" s="10" t="s">
        <v>359</v>
      </c>
      <c r="D31" s="10" t="s">
        <v>169</v>
      </c>
      <c r="E31" s="10" t="s">
        <v>427</v>
      </c>
      <c r="F31" s="10" t="s">
        <v>428</v>
      </c>
      <c r="G31" s="10" t="s">
        <v>429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4"/>
    <col collapsed="false" customWidth="true" hidden="false" outlineLevel="0" max="4" min="4" style="0" width="12"/>
    <col collapsed="false" customWidth="true" hidden="false" outlineLevel="0" max="5" min="5" style="0" width="18"/>
    <col collapsed="false" customWidth="true" hidden="false" outlineLevel="0" max="6" min="6" style="0" width="16"/>
    <col collapsed="false" customWidth="true" hidden="false" outlineLevel="0" max="7" min="7" style="0" width="14"/>
    <col collapsed="false" customWidth="true" hidden="false" outlineLevel="0" max="8" min="8" style="0" width="15"/>
    <col collapsed="false" customWidth="true" hidden="false" outlineLevel="0" max="9" min="9" style="0" width="18"/>
    <col collapsed="false" customWidth="true" hidden="false" outlineLevel="0" max="10" min="10" style="0" width="12"/>
  </cols>
  <sheetData>
    <row r="1" customFormat="false" ht="15" hidden="false" customHeight="false" outlineLevel="0" collapsed="false">
      <c r="A1" s="9" t="s">
        <v>26</v>
      </c>
      <c r="B1" s="9" t="s">
        <v>27</v>
      </c>
      <c r="C1" s="9" t="s">
        <v>430</v>
      </c>
      <c r="D1" s="9" t="s">
        <v>431</v>
      </c>
      <c r="E1" s="9" t="s">
        <v>432</v>
      </c>
      <c r="F1" s="9" t="s">
        <v>433</v>
      </c>
      <c r="G1" s="9" t="s">
        <v>434</v>
      </c>
      <c r="H1" s="9" t="s">
        <v>435</v>
      </c>
      <c r="I1" s="9" t="s">
        <v>436</v>
      </c>
      <c r="J1" s="9" t="s">
        <v>437</v>
      </c>
    </row>
    <row r="2" customFormat="false" ht="15" hidden="false" customHeight="false" outlineLevel="0" collapsed="false">
      <c r="A2" s="10" t="s">
        <v>45</v>
      </c>
      <c r="B2" s="10" t="s">
        <v>19</v>
      </c>
      <c r="C2" s="11" t="b">
        <f aca="false">FALSE()</f>
        <v>0</v>
      </c>
      <c r="D2" s="11" t="b">
        <f aca="false">FALSE()</f>
        <v>0</v>
      </c>
      <c r="E2" s="11" t="b">
        <f aca="false">FALSE()</f>
        <v>0</v>
      </c>
      <c r="F2" s="11" t="b">
        <f aca="false">FALSE()</f>
        <v>0</v>
      </c>
      <c r="G2" s="11" t="b">
        <f aca="false">TRUE()</f>
        <v>1</v>
      </c>
      <c r="H2" s="11" t="b">
        <f aca="false">FALSE()</f>
        <v>0</v>
      </c>
      <c r="I2" s="10" t="s">
        <v>434</v>
      </c>
      <c r="J2" s="11" t="b">
        <f aca="false">FALSE()</f>
        <v>0</v>
      </c>
    </row>
    <row r="3" customFormat="false" ht="15" hidden="false" customHeight="false" outlineLevel="0" collapsed="false">
      <c r="A3" s="10" t="s">
        <v>59</v>
      </c>
      <c r="B3" s="10" t="s">
        <v>19</v>
      </c>
      <c r="C3" s="11" t="b">
        <f aca="false">FALSE()</f>
        <v>0</v>
      </c>
      <c r="D3" s="11" t="b">
        <f aca="false">FALSE()</f>
        <v>0</v>
      </c>
      <c r="E3" s="11" t="b">
        <f aca="false">FALSE()</f>
        <v>0</v>
      </c>
      <c r="F3" s="11" t="b">
        <f aca="false">FALSE()</f>
        <v>0</v>
      </c>
      <c r="G3" s="11" t="b">
        <f aca="false">TRUE()</f>
        <v>1</v>
      </c>
      <c r="H3" s="11" t="b">
        <f aca="false">FALSE()</f>
        <v>0</v>
      </c>
      <c r="I3" s="10" t="s">
        <v>434</v>
      </c>
      <c r="J3" s="11" t="b">
        <f aca="false">FALSE()</f>
        <v>0</v>
      </c>
    </row>
    <row r="4" customFormat="false" ht="15" hidden="false" customHeight="false" outlineLevel="0" collapsed="false">
      <c r="A4" s="10" t="s">
        <v>69</v>
      </c>
      <c r="B4" s="10" t="s">
        <v>19</v>
      </c>
      <c r="C4" s="11" t="b">
        <f aca="false">FALSE()</f>
        <v>0</v>
      </c>
      <c r="D4" s="11" t="b">
        <f aca="false">FALSE()</f>
        <v>0</v>
      </c>
      <c r="E4" s="11" t="b">
        <f aca="false">FALSE()</f>
        <v>0</v>
      </c>
      <c r="F4" s="11" t="b">
        <f aca="false">FALSE()</f>
        <v>0</v>
      </c>
      <c r="G4" s="11" t="b">
        <f aca="false">FALSE()</f>
        <v>0</v>
      </c>
      <c r="H4" s="11" t="b">
        <f aca="false">FALSE()</f>
        <v>0</v>
      </c>
      <c r="I4" s="10"/>
      <c r="J4" s="11" t="b">
        <f aca="false">TRUE()</f>
        <v>1</v>
      </c>
    </row>
    <row r="5" customFormat="false" ht="15" hidden="false" customHeight="false" outlineLevel="0" collapsed="false">
      <c r="A5" s="10" t="s">
        <v>78</v>
      </c>
      <c r="B5" s="10" t="s">
        <v>19</v>
      </c>
      <c r="C5" s="11" t="b">
        <f aca="false">FALSE()</f>
        <v>0</v>
      </c>
      <c r="D5" s="11" t="b">
        <f aca="false">FALSE()</f>
        <v>0</v>
      </c>
      <c r="E5" s="11" t="b">
        <f aca="false">FALSE()</f>
        <v>0</v>
      </c>
      <c r="F5" s="11" t="b">
        <f aca="false">FALSE()</f>
        <v>0</v>
      </c>
      <c r="G5" s="11" t="b">
        <f aca="false">TRUE()</f>
        <v>1</v>
      </c>
      <c r="H5" s="11" t="b">
        <f aca="false">FALSE()</f>
        <v>0</v>
      </c>
      <c r="I5" s="10" t="s">
        <v>434</v>
      </c>
      <c r="J5" s="11" t="b">
        <f aca="false">FALSE()</f>
        <v>0</v>
      </c>
    </row>
    <row r="6" customFormat="false" ht="15" hidden="false" customHeight="false" outlineLevel="0" collapsed="false">
      <c r="A6" s="10" t="s">
        <v>86</v>
      </c>
      <c r="B6" s="10" t="s">
        <v>19</v>
      </c>
      <c r="C6" s="11" t="b">
        <f aca="false">FALSE()</f>
        <v>0</v>
      </c>
      <c r="D6" s="11" t="b">
        <f aca="false">FALSE()</f>
        <v>0</v>
      </c>
      <c r="E6" s="11" t="b">
        <f aca="false">FALSE()</f>
        <v>0</v>
      </c>
      <c r="F6" s="11" t="b">
        <f aca="false">TRUE()</f>
        <v>1</v>
      </c>
      <c r="G6" s="11" t="b">
        <f aca="false">FALSE()</f>
        <v>0</v>
      </c>
      <c r="H6" s="11" t="b">
        <f aca="false">FALSE()</f>
        <v>0</v>
      </c>
      <c r="I6" s="10" t="s">
        <v>433</v>
      </c>
      <c r="J6" s="11" t="b">
        <f aca="false">FALSE()</f>
        <v>0</v>
      </c>
    </row>
    <row r="7" customFormat="false" ht="15" hidden="false" customHeight="false" outlineLevel="0" collapsed="false">
      <c r="A7" s="10" t="s">
        <v>94</v>
      </c>
      <c r="B7" s="10" t="s">
        <v>16</v>
      </c>
      <c r="C7" s="11" t="b">
        <f aca="false">FALSE()</f>
        <v>0</v>
      </c>
      <c r="D7" s="11" t="b">
        <f aca="false">FALSE()</f>
        <v>0</v>
      </c>
      <c r="E7" s="11" t="b">
        <f aca="false">TRUE()</f>
        <v>1</v>
      </c>
      <c r="F7" s="11" t="b">
        <f aca="false">FALSE()</f>
        <v>0</v>
      </c>
      <c r="G7" s="11" t="b">
        <f aca="false">FALSE()</f>
        <v>0</v>
      </c>
      <c r="H7" s="11" t="b">
        <f aca="false">FALSE()</f>
        <v>0</v>
      </c>
      <c r="I7" s="10" t="s">
        <v>432</v>
      </c>
      <c r="J7" s="11" t="b">
        <f aca="false">FALSE()</f>
        <v>0</v>
      </c>
    </row>
    <row r="8" customFormat="false" ht="15" hidden="false" customHeight="false" outlineLevel="0" collapsed="false">
      <c r="A8" s="10" t="s">
        <v>104</v>
      </c>
      <c r="B8" s="10" t="s">
        <v>16</v>
      </c>
      <c r="C8" s="11" t="b">
        <f aca="false">FALSE()</f>
        <v>0</v>
      </c>
      <c r="D8" s="11" t="b">
        <f aca="false">FALSE()</f>
        <v>0</v>
      </c>
      <c r="E8" s="11" t="b">
        <f aca="false">TRUE()</f>
        <v>1</v>
      </c>
      <c r="F8" s="11" t="b">
        <f aca="false">FALSE()</f>
        <v>0</v>
      </c>
      <c r="G8" s="11" t="b">
        <f aca="false">FALSE()</f>
        <v>0</v>
      </c>
      <c r="H8" s="11" t="b">
        <f aca="false">FALSE()</f>
        <v>0</v>
      </c>
      <c r="I8" s="10" t="s">
        <v>432</v>
      </c>
      <c r="J8" s="11" t="b">
        <f aca="false">FALSE()</f>
        <v>0</v>
      </c>
    </row>
    <row r="9" customFormat="false" ht="15" hidden="false" customHeight="false" outlineLevel="0" collapsed="false">
      <c r="A9" s="10" t="s">
        <v>113</v>
      </c>
      <c r="B9" s="10" t="s">
        <v>16</v>
      </c>
      <c r="C9" s="11" t="b">
        <f aca="false">FALSE()</f>
        <v>0</v>
      </c>
      <c r="D9" s="11" t="b">
        <f aca="false">FALSE()</f>
        <v>0</v>
      </c>
      <c r="E9" s="11" t="b">
        <f aca="false">FALSE()</f>
        <v>0</v>
      </c>
      <c r="F9" s="11" t="b">
        <f aca="false">TRUE()</f>
        <v>1</v>
      </c>
      <c r="G9" s="11" t="b">
        <f aca="false">FALSE()</f>
        <v>0</v>
      </c>
      <c r="H9" s="11" t="b">
        <f aca="false">FALSE()</f>
        <v>0</v>
      </c>
      <c r="I9" s="10" t="s">
        <v>433</v>
      </c>
      <c r="J9" s="11" t="b">
        <f aca="false">FALSE()</f>
        <v>0</v>
      </c>
    </row>
    <row r="10" customFormat="false" ht="15" hidden="false" customHeight="false" outlineLevel="0" collapsed="false">
      <c r="A10" s="10" t="s">
        <v>122</v>
      </c>
      <c r="B10" s="10" t="s">
        <v>16</v>
      </c>
      <c r="C10" s="11" t="b">
        <f aca="false">FALSE()</f>
        <v>0</v>
      </c>
      <c r="D10" s="11" t="b">
        <f aca="false">TRUE()</f>
        <v>1</v>
      </c>
      <c r="E10" s="11" t="b">
        <f aca="false">FALSE()</f>
        <v>0</v>
      </c>
      <c r="F10" s="11" t="b">
        <f aca="false">FALSE()</f>
        <v>0</v>
      </c>
      <c r="G10" s="11" t="b">
        <f aca="false">FALSE()</f>
        <v>0</v>
      </c>
      <c r="H10" s="11" t="b">
        <f aca="false">FALSE()</f>
        <v>0</v>
      </c>
      <c r="I10" s="10" t="s">
        <v>431</v>
      </c>
      <c r="J10" s="11" t="b">
        <f aca="false">FALSE()</f>
        <v>0</v>
      </c>
    </row>
    <row r="11" customFormat="false" ht="15" hidden="false" customHeight="false" outlineLevel="0" collapsed="false">
      <c r="A11" s="10" t="s">
        <v>131</v>
      </c>
      <c r="B11" s="10" t="s">
        <v>14</v>
      </c>
      <c r="C11" s="11" t="b">
        <f aca="false">FALSE()</f>
        <v>0</v>
      </c>
      <c r="D11" s="11" t="b">
        <f aca="false">TRUE()</f>
        <v>1</v>
      </c>
      <c r="E11" s="11" t="b">
        <f aca="false">FALSE()</f>
        <v>0</v>
      </c>
      <c r="F11" s="11" t="b">
        <f aca="false">FALSE()</f>
        <v>0</v>
      </c>
      <c r="G11" s="11" t="b">
        <f aca="false">FALSE()</f>
        <v>0</v>
      </c>
      <c r="H11" s="11" t="b">
        <f aca="false">FALSE()</f>
        <v>0</v>
      </c>
      <c r="I11" s="10" t="s">
        <v>431</v>
      </c>
      <c r="J11" s="11" t="b">
        <f aca="false">FALSE()</f>
        <v>0</v>
      </c>
    </row>
    <row r="12" customFormat="false" ht="15" hidden="false" customHeight="false" outlineLevel="0" collapsed="false">
      <c r="A12" s="10" t="s">
        <v>142</v>
      </c>
      <c r="B12" s="10" t="s">
        <v>14</v>
      </c>
      <c r="C12" s="11" t="b">
        <f aca="false">TRUE()</f>
        <v>1</v>
      </c>
      <c r="D12" s="11" t="b">
        <f aca="false">FALSE()</f>
        <v>0</v>
      </c>
      <c r="E12" s="11" t="b">
        <f aca="false">FALSE()</f>
        <v>0</v>
      </c>
      <c r="F12" s="11" t="b">
        <f aca="false">FALSE()</f>
        <v>0</v>
      </c>
      <c r="G12" s="11" t="b">
        <f aca="false">FALSE()</f>
        <v>0</v>
      </c>
      <c r="H12" s="11" t="b">
        <f aca="false">FALSE()</f>
        <v>0</v>
      </c>
      <c r="I12" s="10" t="s">
        <v>430</v>
      </c>
      <c r="J12" s="11" t="b">
        <f aca="false">FALSE()</f>
        <v>0</v>
      </c>
    </row>
    <row r="13" customFormat="false" ht="15" hidden="false" customHeight="false" outlineLevel="0" collapsed="false">
      <c r="A13" s="10" t="s">
        <v>150</v>
      </c>
      <c r="B13" s="10" t="s">
        <v>14</v>
      </c>
      <c r="C13" s="11" t="b">
        <f aca="false">FALSE()</f>
        <v>0</v>
      </c>
      <c r="D13" s="11" t="b">
        <f aca="false">FALSE()</f>
        <v>0</v>
      </c>
      <c r="E13" s="11" t="b">
        <f aca="false">FALSE()</f>
        <v>0</v>
      </c>
      <c r="F13" s="11" t="b">
        <f aca="false">FALSE()</f>
        <v>0</v>
      </c>
      <c r="G13" s="11" t="b">
        <f aca="false">FALSE()</f>
        <v>0</v>
      </c>
      <c r="H13" s="11" t="b">
        <f aca="false">FALSE()</f>
        <v>0</v>
      </c>
      <c r="I13" s="10"/>
      <c r="J13" s="11" t="b">
        <f aca="false">TRUE()</f>
        <v>1</v>
      </c>
    </row>
    <row r="14" customFormat="false" ht="15" hidden="false" customHeight="false" outlineLevel="0" collapsed="false">
      <c r="A14" s="10" t="s">
        <v>158</v>
      </c>
      <c r="B14" s="10" t="s">
        <v>14</v>
      </c>
      <c r="C14" s="11" t="b">
        <f aca="false">FALSE()</f>
        <v>0</v>
      </c>
      <c r="D14" s="11" t="b">
        <f aca="false">FALSE()</f>
        <v>0</v>
      </c>
      <c r="E14" s="11" t="b">
        <f aca="false">TRUE()</f>
        <v>1</v>
      </c>
      <c r="F14" s="11" t="b">
        <f aca="false">FALSE()</f>
        <v>0</v>
      </c>
      <c r="G14" s="11" t="b">
        <f aca="false">FALSE()</f>
        <v>0</v>
      </c>
      <c r="H14" s="11" t="b">
        <f aca="false">FALSE()</f>
        <v>0</v>
      </c>
      <c r="I14" s="10" t="s">
        <v>432</v>
      </c>
      <c r="J14" s="11" t="b">
        <f aca="false">FALSE()</f>
        <v>0</v>
      </c>
    </row>
    <row r="15" customFormat="false" ht="15" hidden="false" customHeight="false" outlineLevel="0" collapsed="false">
      <c r="A15" s="10" t="s">
        <v>168</v>
      </c>
      <c r="B15" s="10" t="s">
        <v>15</v>
      </c>
      <c r="C15" s="11" t="b">
        <f aca="false">FALSE()</f>
        <v>0</v>
      </c>
      <c r="D15" s="11" t="b">
        <f aca="false">FALSE()</f>
        <v>0</v>
      </c>
      <c r="E15" s="11" t="b">
        <f aca="false">FALSE()</f>
        <v>0</v>
      </c>
      <c r="F15" s="11" t="b">
        <f aca="false">FALSE()</f>
        <v>0</v>
      </c>
      <c r="G15" s="11" t="b">
        <f aca="false">FALSE()</f>
        <v>0</v>
      </c>
      <c r="H15" s="11" t="b">
        <f aca="false">FALSE()</f>
        <v>0</v>
      </c>
      <c r="I15" s="10"/>
      <c r="J15" s="11" t="b">
        <f aca="false">TRUE()</f>
        <v>1</v>
      </c>
    </row>
    <row r="16" customFormat="false" ht="15" hidden="false" customHeight="false" outlineLevel="0" collapsed="false">
      <c r="A16" s="10" t="s">
        <v>177</v>
      </c>
      <c r="B16" s="10" t="s">
        <v>15</v>
      </c>
      <c r="C16" s="11" t="b">
        <f aca="false">FALSE()</f>
        <v>0</v>
      </c>
      <c r="D16" s="11" t="b">
        <f aca="false">FALSE()</f>
        <v>0</v>
      </c>
      <c r="E16" s="11" t="b">
        <f aca="false">FALSE()</f>
        <v>0</v>
      </c>
      <c r="F16" s="11" t="b">
        <f aca="false">FALSE()</f>
        <v>0</v>
      </c>
      <c r="G16" s="11" t="b">
        <f aca="false">FALSE()</f>
        <v>0</v>
      </c>
      <c r="H16" s="11" t="b">
        <f aca="false">FALSE()</f>
        <v>0</v>
      </c>
      <c r="I16" s="10"/>
      <c r="J16" s="11" t="b">
        <f aca="false">TRUE()</f>
        <v>1</v>
      </c>
    </row>
    <row r="17" customFormat="false" ht="15" hidden="false" customHeight="false" outlineLevel="0" collapsed="false">
      <c r="A17" s="10" t="s">
        <v>184</v>
      </c>
      <c r="B17" s="10" t="s">
        <v>15</v>
      </c>
      <c r="C17" s="11" t="b">
        <f aca="false">FALSE()</f>
        <v>0</v>
      </c>
      <c r="D17" s="11" t="b">
        <f aca="false">FALSE()</f>
        <v>0</v>
      </c>
      <c r="E17" s="11" t="b">
        <f aca="false">FALSE()</f>
        <v>0</v>
      </c>
      <c r="F17" s="11" t="b">
        <f aca="false">FALSE()</f>
        <v>0</v>
      </c>
      <c r="G17" s="11" t="b">
        <f aca="false">FALSE()</f>
        <v>0</v>
      </c>
      <c r="H17" s="11" t="b">
        <f aca="false">FALSE()</f>
        <v>0</v>
      </c>
      <c r="I17" s="10"/>
      <c r="J17" s="11" t="b">
        <f aca="false">TRUE()</f>
        <v>1</v>
      </c>
    </row>
    <row r="18" customFormat="false" ht="15" hidden="false" customHeight="false" outlineLevel="0" collapsed="false">
      <c r="A18" s="10" t="s">
        <v>192</v>
      </c>
      <c r="B18" s="10" t="s">
        <v>15</v>
      </c>
      <c r="C18" s="11" t="b">
        <f aca="false">FALSE()</f>
        <v>0</v>
      </c>
      <c r="D18" s="11" t="b">
        <f aca="false">FALSE()</f>
        <v>0</v>
      </c>
      <c r="E18" s="11" t="b">
        <f aca="false">FALSE()</f>
        <v>0</v>
      </c>
      <c r="F18" s="11" t="b">
        <f aca="false">FALSE()</f>
        <v>0</v>
      </c>
      <c r="G18" s="11" t="b">
        <f aca="false">FALSE()</f>
        <v>0</v>
      </c>
      <c r="H18" s="11" t="b">
        <f aca="false">FALSE()</f>
        <v>0</v>
      </c>
      <c r="I18" s="10"/>
      <c r="J18" s="11" t="b">
        <f aca="false">TRUE()</f>
        <v>1</v>
      </c>
    </row>
    <row r="19" customFormat="false" ht="15" hidden="false" customHeight="false" outlineLevel="0" collapsed="false">
      <c r="A19" s="10" t="s">
        <v>201</v>
      </c>
      <c r="B19" s="10" t="s">
        <v>18</v>
      </c>
      <c r="C19" s="11" t="b">
        <f aca="false">FALSE()</f>
        <v>0</v>
      </c>
      <c r="D19" s="11" t="b">
        <f aca="false">FALSE()</f>
        <v>0</v>
      </c>
      <c r="E19" s="11" t="b">
        <f aca="false">FALSE()</f>
        <v>0</v>
      </c>
      <c r="F19" s="11" t="b">
        <f aca="false">FALSE()</f>
        <v>0</v>
      </c>
      <c r="G19" s="11" t="b">
        <f aca="false">FALSE()</f>
        <v>0</v>
      </c>
      <c r="H19" s="11" t="b">
        <f aca="false">TRUE()</f>
        <v>1</v>
      </c>
      <c r="I19" s="10" t="s">
        <v>435</v>
      </c>
      <c r="J19" s="11" t="b">
        <f aca="false">FALSE()</f>
        <v>0</v>
      </c>
    </row>
    <row r="20" customFormat="false" ht="15" hidden="false" customHeight="false" outlineLevel="0" collapsed="false">
      <c r="A20" s="10" t="s">
        <v>209</v>
      </c>
      <c r="B20" s="10" t="s">
        <v>18</v>
      </c>
      <c r="C20" s="11" t="b">
        <f aca="false">FALSE()</f>
        <v>0</v>
      </c>
      <c r="D20" s="11" t="b">
        <f aca="false">FALSE()</f>
        <v>0</v>
      </c>
      <c r="E20" s="11" t="b">
        <f aca="false">FALSE()</f>
        <v>0</v>
      </c>
      <c r="F20" s="11" t="b">
        <f aca="false">FALSE()</f>
        <v>0</v>
      </c>
      <c r="G20" s="11" t="b">
        <f aca="false">FALSE()</f>
        <v>0</v>
      </c>
      <c r="H20" s="11" t="b">
        <f aca="false">TRUE()</f>
        <v>1</v>
      </c>
      <c r="I20" s="10" t="s">
        <v>435</v>
      </c>
      <c r="J20" s="11" t="b">
        <f aca="false">FALSE()</f>
        <v>0</v>
      </c>
    </row>
    <row r="21" customFormat="false" ht="15" hidden="false" customHeight="false" outlineLevel="0" collapsed="false">
      <c r="A21" s="10" t="s">
        <v>217</v>
      </c>
      <c r="B21" s="10" t="s">
        <v>18</v>
      </c>
      <c r="C21" s="11" t="b">
        <f aca="false">FALSE()</f>
        <v>0</v>
      </c>
      <c r="D21" s="11" t="b">
        <f aca="false">FALSE()</f>
        <v>0</v>
      </c>
      <c r="E21" s="11" t="b">
        <f aca="false">FALSE()</f>
        <v>0</v>
      </c>
      <c r="F21" s="11" t="b">
        <f aca="false">FALSE()</f>
        <v>0</v>
      </c>
      <c r="G21" s="11" t="b">
        <f aca="false">FALSE()</f>
        <v>0</v>
      </c>
      <c r="H21" s="11" t="b">
        <f aca="false">FALSE()</f>
        <v>0</v>
      </c>
      <c r="I21" s="10"/>
      <c r="J21" s="11" t="b">
        <f aca="false">TRUE()</f>
        <v>1</v>
      </c>
    </row>
    <row r="22" customFormat="false" ht="15" hidden="false" customHeight="false" outlineLevel="0" collapsed="false">
      <c r="A22" s="10" t="s">
        <v>225</v>
      </c>
      <c r="B22" s="10" t="s">
        <v>18</v>
      </c>
      <c r="C22" s="11" t="b">
        <f aca="false">FALSE()</f>
        <v>0</v>
      </c>
      <c r="D22" s="11" t="b">
        <f aca="false">FALSE()</f>
        <v>0</v>
      </c>
      <c r="E22" s="11" t="b">
        <f aca="false">FALSE()</f>
        <v>0</v>
      </c>
      <c r="F22" s="11" t="b">
        <f aca="false">FALSE()</f>
        <v>0</v>
      </c>
      <c r="G22" s="11" t="b">
        <f aca="false">FALSE()</f>
        <v>0</v>
      </c>
      <c r="H22" s="11" t="b">
        <f aca="false">FALSE()</f>
        <v>0</v>
      </c>
      <c r="I22" s="10"/>
      <c r="J22" s="11" t="b">
        <f aca="false">TRUE()</f>
        <v>1</v>
      </c>
    </row>
    <row r="23" customFormat="false" ht="15" hidden="false" customHeight="false" outlineLevel="0" collapsed="false">
      <c r="A23" s="10" t="s">
        <v>232</v>
      </c>
      <c r="B23" s="10" t="s">
        <v>13</v>
      </c>
      <c r="C23" s="11" t="b">
        <f aca="false">FALSE()</f>
        <v>0</v>
      </c>
      <c r="D23" s="11" t="b">
        <f aca="false">FALSE()</f>
        <v>0</v>
      </c>
      <c r="E23" s="11" t="b">
        <f aca="false">FALSE()</f>
        <v>0</v>
      </c>
      <c r="F23" s="11" t="b">
        <f aca="false">FALSE()</f>
        <v>0</v>
      </c>
      <c r="G23" s="11" t="b">
        <f aca="false">FALSE()</f>
        <v>0</v>
      </c>
      <c r="H23" s="11" t="b">
        <f aca="false">FALSE()</f>
        <v>0</v>
      </c>
      <c r="I23" s="10"/>
      <c r="J23" s="11" t="b">
        <f aca="false">TRUE()</f>
        <v>1</v>
      </c>
    </row>
    <row r="24" customFormat="false" ht="15" hidden="false" customHeight="false" outlineLevel="0" collapsed="false">
      <c r="A24" s="10" t="s">
        <v>242</v>
      </c>
      <c r="B24" s="10" t="s">
        <v>13</v>
      </c>
      <c r="C24" s="11" t="b">
        <f aca="false">FALSE()</f>
        <v>0</v>
      </c>
      <c r="D24" s="11" t="b">
        <f aca="false">FALSE()</f>
        <v>0</v>
      </c>
      <c r="E24" s="11" t="b">
        <f aca="false">FALSE()</f>
        <v>0</v>
      </c>
      <c r="F24" s="11" t="b">
        <f aca="false">FALSE()</f>
        <v>0</v>
      </c>
      <c r="G24" s="11" t="b">
        <f aca="false">FALSE()</f>
        <v>0</v>
      </c>
      <c r="H24" s="11" t="b">
        <f aca="false">FALSE()</f>
        <v>0</v>
      </c>
      <c r="I24" s="10"/>
      <c r="J24" s="11" t="b">
        <f aca="false">TRUE()</f>
        <v>1</v>
      </c>
    </row>
    <row r="25" customFormat="false" ht="15" hidden="false" customHeight="false" outlineLevel="0" collapsed="false">
      <c r="A25" s="10" t="s">
        <v>251</v>
      </c>
      <c r="B25" s="10" t="s">
        <v>13</v>
      </c>
      <c r="C25" s="11" t="b">
        <f aca="false">FALSE()</f>
        <v>0</v>
      </c>
      <c r="D25" s="11" t="b">
        <f aca="false">FALSE()</f>
        <v>0</v>
      </c>
      <c r="E25" s="11" t="b">
        <f aca="false">FALSE()</f>
        <v>0</v>
      </c>
      <c r="F25" s="11" t="b">
        <f aca="false">FALSE()</f>
        <v>0</v>
      </c>
      <c r="G25" s="11" t="b">
        <f aca="false">FALSE()</f>
        <v>0</v>
      </c>
      <c r="H25" s="11" t="b">
        <f aca="false">FALSE()</f>
        <v>0</v>
      </c>
      <c r="I25" s="10"/>
      <c r="J25" s="11" t="b">
        <f aca="false">TRUE()</f>
        <v>1</v>
      </c>
    </row>
    <row r="26" customFormat="false" ht="15" hidden="false" customHeight="false" outlineLevel="0" collapsed="false">
      <c r="A26" s="10" t="s">
        <v>260</v>
      </c>
      <c r="B26" s="10" t="s">
        <v>13</v>
      </c>
      <c r="C26" s="11" t="b">
        <f aca="false">FALSE()</f>
        <v>0</v>
      </c>
      <c r="D26" s="11" t="b">
        <f aca="false">FALSE()</f>
        <v>0</v>
      </c>
      <c r="E26" s="11" t="b">
        <f aca="false">FALSE()</f>
        <v>0</v>
      </c>
      <c r="F26" s="11" t="b">
        <f aca="false">FALSE()</f>
        <v>0</v>
      </c>
      <c r="G26" s="11" t="b">
        <f aca="false">FALSE()</f>
        <v>0</v>
      </c>
      <c r="H26" s="11" t="b">
        <f aca="false">FALSE()</f>
        <v>0</v>
      </c>
      <c r="I26" s="10"/>
      <c r="J26" s="11" t="b">
        <f aca="false">TRUE()</f>
        <v>1</v>
      </c>
    </row>
    <row r="27" customFormat="false" ht="15" hidden="false" customHeight="false" outlineLevel="0" collapsed="false">
      <c r="A27" s="10" t="s">
        <v>269</v>
      </c>
      <c r="B27" s="10" t="s">
        <v>17</v>
      </c>
      <c r="C27" s="11" t="b">
        <f aca="false">FALSE()</f>
        <v>0</v>
      </c>
      <c r="D27" s="11" t="b">
        <f aca="false">FALSE()</f>
        <v>0</v>
      </c>
      <c r="E27" s="11" t="b">
        <f aca="false">FALSE()</f>
        <v>0</v>
      </c>
      <c r="F27" s="11" t="b">
        <f aca="false">FALSE()</f>
        <v>0</v>
      </c>
      <c r="G27" s="11" t="b">
        <f aca="false">FALSE()</f>
        <v>0</v>
      </c>
      <c r="H27" s="11" t="b">
        <f aca="false">FALSE()</f>
        <v>0</v>
      </c>
      <c r="I27" s="10"/>
      <c r="J27" s="11" t="b">
        <f aca="false">TRUE()</f>
        <v>1</v>
      </c>
    </row>
    <row r="28" customFormat="false" ht="15" hidden="false" customHeight="false" outlineLevel="0" collapsed="false">
      <c r="A28" s="10" t="s">
        <v>277</v>
      </c>
      <c r="B28" s="10" t="s">
        <v>17</v>
      </c>
      <c r="C28" s="11" t="b">
        <f aca="false">FALSE()</f>
        <v>0</v>
      </c>
      <c r="D28" s="11" t="b">
        <f aca="false">FALSE()</f>
        <v>0</v>
      </c>
      <c r="E28" s="11" t="b">
        <f aca="false">FALSE()</f>
        <v>0</v>
      </c>
      <c r="F28" s="11" t="b">
        <f aca="false">FALSE()</f>
        <v>0</v>
      </c>
      <c r="G28" s="11" t="b">
        <f aca="false">FALSE()</f>
        <v>0</v>
      </c>
      <c r="H28" s="11" t="b">
        <f aca="false">FALSE()</f>
        <v>0</v>
      </c>
      <c r="I28" s="10"/>
      <c r="J28" s="11" t="b">
        <f aca="false">TRUE()</f>
        <v>1</v>
      </c>
    </row>
    <row r="29" customFormat="false" ht="15" hidden="false" customHeight="false" outlineLevel="0" collapsed="false">
      <c r="A29" s="10" t="s">
        <v>284</v>
      </c>
      <c r="B29" s="10" t="s">
        <v>17</v>
      </c>
      <c r="C29" s="11" t="b">
        <f aca="false">FALSE()</f>
        <v>0</v>
      </c>
      <c r="D29" s="11" t="b">
        <f aca="false">FALSE()</f>
        <v>0</v>
      </c>
      <c r="E29" s="11" t="b">
        <f aca="false">FALSE()</f>
        <v>0</v>
      </c>
      <c r="F29" s="11" t="b">
        <f aca="false">FALSE()</f>
        <v>0</v>
      </c>
      <c r="G29" s="11" t="b">
        <f aca="false">FALSE()</f>
        <v>0</v>
      </c>
      <c r="H29" s="11" t="b">
        <f aca="false">FALSE()</f>
        <v>0</v>
      </c>
      <c r="I29" s="10"/>
      <c r="J29" s="11" t="b">
        <f aca="false">TRUE()</f>
        <v>1</v>
      </c>
    </row>
    <row r="30" customFormat="false" ht="15" hidden="false" customHeight="false" outlineLevel="0" collapsed="false">
      <c r="A30" s="10" t="s">
        <v>293</v>
      </c>
      <c r="B30" s="10" t="s">
        <v>20</v>
      </c>
      <c r="C30" s="11" t="b">
        <f aca="false">FALSE()</f>
        <v>0</v>
      </c>
      <c r="D30" s="11" t="b">
        <f aca="false">FALSE()</f>
        <v>0</v>
      </c>
      <c r="E30" s="11" t="b">
        <f aca="false">FALSE()</f>
        <v>0</v>
      </c>
      <c r="F30" s="11" t="b">
        <f aca="false">FALSE()</f>
        <v>0</v>
      </c>
      <c r="G30" s="11" t="b">
        <f aca="false">FALSE()</f>
        <v>0</v>
      </c>
      <c r="H30" s="11" t="b">
        <f aca="false">FALSE()</f>
        <v>0</v>
      </c>
      <c r="I30" s="10"/>
      <c r="J30" s="11" t="b">
        <f aca="false">TRUE()</f>
        <v>1</v>
      </c>
    </row>
    <row r="31" customFormat="false" ht="15" hidden="false" customHeight="false" outlineLevel="0" collapsed="false">
      <c r="A31" s="10" t="s">
        <v>300</v>
      </c>
      <c r="B31" s="10" t="s">
        <v>20</v>
      </c>
      <c r="C31" s="11" t="b">
        <f aca="false">FALSE()</f>
        <v>0</v>
      </c>
      <c r="D31" s="11" t="b">
        <f aca="false">FALSE()</f>
        <v>0</v>
      </c>
      <c r="E31" s="11" t="b">
        <f aca="false">FALSE()</f>
        <v>0</v>
      </c>
      <c r="F31" s="11" t="b">
        <f aca="false">FALSE()</f>
        <v>0</v>
      </c>
      <c r="G31" s="11" t="b">
        <f aca="false">FALSE()</f>
        <v>0</v>
      </c>
      <c r="H31" s="11" t="b">
        <f aca="false">FALSE()</f>
        <v>0</v>
      </c>
      <c r="I31" s="10"/>
      <c r="J31" s="11" t="b">
        <f aca="false">TRUE()</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5"/>
    <col collapsed="false" customWidth="true" hidden="false" outlineLevel="0" max="4" min="3" style="0" width="42"/>
  </cols>
  <sheetData>
    <row r="1" customFormat="false" ht="15" hidden="false" customHeight="false" outlineLevel="0" collapsed="false">
      <c r="A1" s="9" t="s">
        <v>26</v>
      </c>
      <c r="B1" s="9" t="s">
        <v>438</v>
      </c>
      <c r="C1" s="9" t="s">
        <v>439</v>
      </c>
      <c r="D1" s="9" t="s">
        <v>440</v>
      </c>
    </row>
    <row r="2" customFormat="false" ht="15" hidden="false" customHeight="false" outlineLevel="0" collapsed="false">
      <c r="A2" s="10" t="s">
        <v>45</v>
      </c>
      <c r="B2" s="10" t="s">
        <v>3</v>
      </c>
      <c r="C2" s="10"/>
      <c r="D2" s="10" t="s">
        <v>441</v>
      </c>
    </row>
    <row r="3" customFormat="false" ht="15" hidden="false" customHeight="false" outlineLevel="0" collapsed="false">
      <c r="A3" s="10" t="s">
        <v>59</v>
      </c>
      <c r="B3" s="10" t="s">
        <v>3</v>
      </c>
      <c r="C3" s="10"/>
      <c r="D3" s="10" t="s">
        <v>442</v>
      </c>
    </row>
    <row r="4" customFormat="false" ht="15" hidden="false" customHeight="false" outlineLevel="0" collapsed="false">
      <c r="A4" s="10" t="s">
        <v>69</v>
      </c>
      <c r="B4" s="10" t="s">
        <v>5</v>
      </c>
      <c r="C4" s="10" t="s">
        <v>443</v>
      </c>
      <c r="D4" s="10" t="s">
        <v>444</v>
      </c>
    </row>
    <row r="5" customFormat="false" ht="15" hidden="false" customHeight="false" outlineLevel="0" collapsed="false">
      <c r="A5" s="10" t="s">
        <v>78</v>
      </c>
      <c r="B5" s="10" t="s">
        <v>3</v>
      </c>
      <c r="C5" s="10"/>
      <c r="D5" s="10" t="s">
        <v>445</v>
      </c>
    </row>
    <row r="6" customFormat="false" ht="15" hidden="false" customHeight="false" outlineLevel="0" collapsed="false">
      <c r="A6" s="10" t="s">
        <v>86</v>
      </c>
      <c r="B6" s="10" t="s">
        <v>3</v>
      </c>
      <c r="C6" s="10"/>
      <c r="D6" s="10" t="s">
        <v>446</v>
      </c>
    </row>
    <row r="7" customFormat="false" ht="15" hidden="false" customHeight="false" outlineLevel="0" collapsed="false">
      <c r="A7" s="10" t="s">
        <v>94</v>
      </c>
      <c r="B7" s="10" t="s">
        <v>4</v>
      </c>
      <c r="C7" s="10" t="s">
        <v>447</v>
      </c>
      <c r="D7" s="10" t="s">
        <v>448</v>
      </c>
    </row>
    <row r="8" customFormat="false" ht="15" hidden="false" customHeight="false" outlineLevel="0" collapsed="false">
      <c r="A8" s="10" t="s">
        <v>104</v>
      </c>
      <c r="B8" s="10" t="s">
        <v>3</v>
      </c>
      <c r="C8" s="10"/>
      <c r="D8" s="10" t="s">
        <v>449</v>
      </c>
    </row>
    <row r="9" customFormat="false" ht="15" hidden="false" customHeight="false" outlineLevel="0" collapsed="false">
      <c r="A9" s="10" t="s">
        <v>113</v>
      </c>
      <c r="B9" s="10" t="s">
        <v>3</v>
      </c>
      <c r="C9" s="10"/>
      <c r="D9" s="10" t="s">
        <v>450</v>
      </c>
    </row>
    <row r="10" customFormat="false" ht="15" hidden="false" customHeight="false" outlineLevel="0" collapsed="false">
      <c r="A10" s="10" t="s">
        <v>122</v>
      </c>
      <c r="B10" s="10" t="s">
        <v>5</v>
      </c>
      <c r="C10" s="10" t="s">
        <v>451</v>
      </c>
      <c r="D10" s="10" t="s">
        <v>452</v>
      </c>
    </row>
    <row r="11" customFormat="false" ht="15" hidden="false" customHeight="false" outlineLevel="0" collapsed="false">
      <c r="A11" s="10" t="s">
        <v>131</v>
      </c>
      <c r="B11" s="10" t="s">
        <v>3</v>
      </c>
      <c r="C11" s="10"/>
      <c r="D11" s="10" t="s">
        <v>453</v>
      </c>
    </row>
    <row r="12" customFormat="false" ht="15" hidden="false" customHeight="false" outlineLevel="0" collapsed="false">
      <c r="A12" s="10" t="s">
        <v>142</v>
      </c>
      <c r="B12" s="10" t="s">
        <v>4</v>
      </c>
      <c r="C12" s="10" t="s">
        <v>454</v>
      </c>
      <c r="D12" s="10" t="s">
        <v>455</v>
      </c>
    </row>
    <row r="13" customFormat="false" ht="15" hidden="false" customHeight="false" outlineLevel="0" collapsed="false">
      <c r="A13" s="10" t="s">
        <v>150</v>
      </c>
      <c r="B13" s="10" t="s">
        <v>3</v>
      </c>
      <c r="C13" s="10"/>
      <c r="D13" s="10" t="s">
        <v>456</v>
      </c>
    </row>
    <row r="14" customFormat="false" ht="15" hidden="false" customHeight="false" outlineLevel="0" collapsed="false">
      <c r="A14" s="10" t="s">
        <v>158</v>
      </c>
      <c r="B14" s="10" t="s">
        <v>5</v>
      </c>
      <c r="C14" s="10" t="s">
        <v>457</v>
      </c>
      <c r="D14" s="10" t="s">
        <v>458</v>
      </c>
    </row>
    <row r="15" customFormat="false" ht="15" hidden="false" customHeight="false" outlineLevel="0" collapsed="false">
      <c r="A15" s="10" t="s">
        <v>168</v>
      </c>
      <c r="B15" s="10" t="s">
        <v>3</v>
      </c>
      <c r="C15" s="10"/>
      <c r="D15" s="10" t="s">
        <v>459</v>
      </c>
    </row>
    <row r="16" customFormat="false" ht="15" hidden="false" customHeight="false" outlineLevel="0" collapsed="false">
      <c r="A16" s="10" t="s">
        <v>177</v>
      </c>
      <c r="B16" s="10" t="s">
        <v>3</v>
      </c>
      <c r="C16" s="10"/>
      <c r="D16" s="10" t="s">
        <v>460</v>
      </c>
    </row>
    <row r="17" customFormat="false" ht="15" hidden="false" customHeight="false" outlineLevel="0" collapsed="false">
      <c r="A17" s="10" t="s">
        <v>184</v>
      </c>
      <c r="B17" s="10" t="s">
        <v>4</v>
      </c>
      <c r="C17" s="10" t="s">
        <v>461</v>
      </c>
      <c r="D17" s="10" t="s">
        <v>462</v>
      </c>
    </row>
    <row r="18" customFormat="false" ht="15" hidden="false" customHeight="false" outlineLevel="0" collapsed="false">
      <c r="A18" s="10" t="s">
        <v>192</v>
      </c>
      <c r="B18" s="10" t="s">
        <v>3</v>
      </c>
      <c r="C18" s="10"/>
      <c r="D18" s="10" t="s">
        <v>463</v>
      </c>
    </row>
    <row r="19" customFormat="false" ht="15" hidden="false" customHeight="false" outlineLevel="0" collapsed="false">
      <c r="A19" s="10" t="s">
        <v>201</v>
      </c>
      <c r="B19" s="10" t="s">
        <v>3</v>
      </c>
      <c r="C19" s="10"/>
      <c r="D19" s="10" t="s">
        <v>464</v>
      </c>
    </row>
    <row r="20" customFormat="false" ht="15" hidden="false" customHeight="false" outlineLevel="0" collapsed="false">
      <c r="A20" s="10" t="s">
        <v>209</v>
      </c>
      <c r="B20" s="10" t="s">
        <v>5</v>
      </c>
      <c r="C20" s="10" t="s">
        <v>465</v>
      </c>
      <c r="D20" s="10" t="s">
        <v>466</v>
      </c>
    </row>
    <row r="21" customFormat="false" ht="15" hidden="false" customHeight="false" outlineLevel="0" collapsed="false">
      <c r="A21" s="10" t="s">
        <v>217</v>
      </c>
      <c r="B21" s="10" t="s">
        <v>3</v>
      </c>
      <c r="C21" s="10"/>
      <c r="D21" s="10" t="s">
        <v>467</v>
      </c>
    </row>
    <row r="22" customFormat="false" ht="15" hidden="false" customHeight="false" outlineLevel="0" collapsed="false">
      <c r="A22" s="10" t="s">
        <v>225</v>
      </c>
      <c r="B22" s="10" t="s">
        <v>4</v>
      </c>
      <c r="C22" s="10" t="s">
        <v>468</v>
      </c>
      <c r="D22" s="10" t="s">
        <v>469</v>
      </c>
    </row>
    <row r="23" customFormat="false" ht="15" hidden="false" customHeight="false" outlineLevel="0" collapsed="false">
      <c r="A23" s="10" t="s">
        <v>232</v>
      </c>
      <c r="B23" s="10" t="s">
        <v>3</v>
      </c>
      <c r="C23" s="10"/>
      <c r="D23" s="10" t="s">
        <v>470</v>
      </c>
    </row>
    <row r="24" customFormat="false" ht="15" hidden="false" customHeight="false" outlineLevel="0" collapsed="false">
      <c r="A24" s="10" t="s">
        <v>242</v>
      </c>
      <c r="B24" s="10" t="s">
        <v>5</v>
      </c>
      <c r="C24" s="10" t="s">
        <v>471</v>
      </c>
      <c r="D24" s="10" t="s">
        <v>472</v>
      </c>
    </row>
    <row r="25" customFormat="false" ht="15" hidden="false" customHeight="false" outlineLevel="0" collapsed="false">
      <c r="A25" s="10" t="s">
        <v>251</v>
      </c>
      <c r="B25" s="10" t="s">
        <v>3</v>
      </c>
      <c r="C25" s="10"/>
      <c r="D25" s="10" t="s">
        <v>473</v>
      </c>
    </row>
    <row r="26" customFormat="false" ht="15" hidden="false" customHeight="false" outlineLevel="0" collapsed="false">
      <c r="A26" s="10" t="s">
        <v>260</v>
      </c>
      <c r="B26" s="10" t="s">
        <v>4</v>
      </c>
      <c r="C26" s="10" t="s">
        <v>474</v>
      </c>
      <c r="D26" s="10" t="s">
        <v>475</v>
      </c>
    </row>
    <row r="27" customFormat="false" ht="15" hidden="false" customHeight="false" outlineLevel="0" collapsed="false">
      <c r="A27" s="10" t="s">
        <v>269</v>
      </c>
      <c r="B27" s="10" t="s">
        <v>3</v>
      </c>
      <c r="C27" s="10"/>
      <c r="D27" s="10" t="s">
        <v>476</v>
      </c>
    </row>
    <row r="28" customFormat="false" ht="15" hidden="false" customHeight="false" outlineLevel="0" collapsed="false">
      <c r="A28" s="10" t="s">
        <v>277</v>
      </c>
      <c r="B28" s="10" t="s">
        <v>5</v>
      </c>
      <c r="C28" s="10" t="s">
        <v>477</v>
      </c>
      <c r="D28" s="10" t="s">
        <v>478</v>
      </c>
    </row>
    <row r="29" customFormat="false" ht="15" hidden="false" customHeight="false" outlineLevel="0" collapsed="false">
      <c r="A29" s="10" t="s">
        <v>284</v>
      </c>
      <c r="B29" s="10" t="s">
        <v>3</v>
      </c>
      <c r="C29" s="10"/>
      <c r="D29" s="10" t="s">
        <v>479</v>
      </c>
    </row>
    <row r="30" customFormat="false" ht="15" hidden="false" customHeight="false" outlineLevel="0" collapsed="false">
      <c r="A30" s="10" t="s">
        <v>293</v>
      </c>
      <c r="B30" s="10" t="s">
        <v>3</v>
      </c>
      <c r="C30" s="10"/>
      <c r="D30" s="10" t="s">
        <v>480</v>
      </c>
    </row>
    <row r="31" customFormat="false" ht="15" hidden="false" customHeight="false" outlineLevel="0" collapsed="false">
      <c r="A31" s="10" t="s">
        <v>300</v>
      </c>
      <c r="B31" s="10" t="s">
        <v>4</v>
      </c>
      <c r="C31" s="10" t="s">
        <v>481</v>
      </c>
      <c r="D31" s="10" t="s">
        <v>482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2026-08-29T17:11:57Z</dcterms:created>
  <dc:creator>openpyxl</dc:creator>
  <dc:description/>
  <dc:language>en-US</dc:language>
  <cp:lastModifiedBy/>
  <dcterms:modified xsi:type="dcterms:W3CDTF">2026-08-29T17:11:59Z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